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60" windowWidth="30240" windowHeight="18880"/>
  </bookViews>
  <sheets>
    <sheet sheetId="1" name="Sheet1" state="visible" r:id="rId4"/>
  </sheets>
  <definedNames>
    <definedName name="TERMS">Sheet1!$Y$3:$Y$9</definedName>
  </definedNames>
  <calcPr calcId="171027"/>
</workbook>
</file>

<file path=xl/sharedStrings.xml><?xml version="1.0" encoding="utf-8"?>
<sst xmlns="http://schemas.openxmlformats.org/spreadsheetml/2006/main" count="146" uniqueCount="121">
  <si>
    <t>Picklist</t>
  </si>
  <si>
    <t xml:space="preserve">   M.Eng. Distance Learning Proposal Form – Engineering Management</t>
  </si>
  <si>
    <t>Form Checks:</t>
  </si>
  <si>
    <t>semesters</t>
  </si>
  <si>
    <t>advisors</t>
  </si>
  <si>
    <t>FA23</t>
  </si>
  <si>
    <t>Andrea Ippolito</t>
  </si>
  <si>
    <t>Name</t>
  </si>
  <si>
    <t>Adam Moffat</t>
  </si>
  <si>
    <t>Starting</t>
  </si>
  <si>
    <t>SP26</t>
  </si>
  <si>
    <t>SP24</t>
  </si>
  <si>
    <t>Robert Newman</t>
  </si>
  <si>
    <t>Student ID#</t>
  </si>
  <si>
    <t/>
  </si>
  <si>
    <t>Graduating</t>
  </si>
  <si>
    <t>SP28</t>
  </si>
  <si>
    <t>SU24</t>
  </si>
  <si>
    <t>Dirk Swart</t>
  </si>
  <si>
    <t>NetID #</t>
  </si>
  <si>
    <t>Arm393</t>
  </si>
  <si>
    <t>Advisor</t>
  </si>
  <si>
    <t>FA24</t>
  </si>
  <si>
    <t>SP25</t>
  </si>
  <si>
    <t>This proposal form should be reviewed and approved by your advisor and submitted/uploaded to Smartsheet via the link below no later than</t>
  </si>
  <si>
    <t>SU25</t>
  </si>
  <si>
    <t xml:space="preserve">the end of the third week of classes each semester. You also must submit a revised proposal form for approval anytime a change is proposed. </t>
  </si>
  <si>
    <t>FA25</t>
  </si>
  <si>
    <t>UPLOAD PROPOSAL FORM HERE</t>
  </si>
  <si>
    <r>
      <t xml:space="preserve">    Credits by Semester </t>
    </r>
    <r>
      <rPr>
        <b/>
        <i/>
        <color theme="0" tint="-0.499984740745262"/>
        <family val="2"/>
        <sz val="10"/>
        <rFont val="Calibri"/>
      </rPr>
      <t>(unhide Columns K-P to expand)</t>
    </r>
  </si>
  <si>
    <t>SU26</t>
  </si>
  <si>
    <t xml:space="preserve">Required Courses </t>
  </si>
  <si>
    <t>Credits</t>
  </si>
  <si>
    <t>SU1</t>
  </si>
  <si>
    <t>FA1</t>
  </si>
  <si>
    <t>SP1</t>
  </si>
  <si>
    <t>SU2</t>
  </si>
  <si>
    <t>FA2</t>
  </si>
  <si>
    <t>SP2</t>
  </si>
  <si>
    <t>SU3</t>
  </si>
  <si>
    <t>FA3</t>
  </si>
  <si>
    <t>SP3</t>
  </si>
  <si>
    <t>SU4</t>
  </si>
  <si>
    <t>FA4</t>
  </si>
  <si>
    <t>SP4</t>
  </si>
  <si>
    <t>Comments</t>
  </si>
  <si>
    <t>FA26</t>
  </si>
  <si>
    <t>ENMGT 5080</t>
  </si>
  <si>
    <t>Introduction to Python Basics</t>
  </si>
  <si>
    <t>Summer only</t>
  </si>
  <si>
    <t>SP27</t>
  </si>
  <si>
    <t>ENMGT 5900</t>
  </si>
  <si>
    <t xml:space="preserve">Project Management </t>
  </si>
  <si>
    <t xml:space="preserve">Fall and Spring </t>
  </si>
  <si>
    <t>SU27</t>
  </si>
  <si>
    <t>ENMGT 5910</t>
  </si>
  <si>
    <t>Engineering Management Project *</t>
  </si>
  <si>
    <t>Fall and Spring *</t>
  </si>
  <si>
    <t>FA27</t>
  </si>
  <si>
    <t>ENMGT 5930</t>
  </si>
  <si>
    <t>Data Analytics</t>
  </si>
  <si>
    <t>Fall only</t>
  </si>
  <si>
    <t>ENMGT 5941</t>
  </si>
  <si>
    <t xml:space="preserve">Foundations in Engineering Economics </t>
  </si>
  <si>
    <t>Spring only (S1)</t>
  </si>
  <si>
    <t>SU28</t>
  </si>
  <si>
    <t>ENMGT 5942</t>
  </si>
  <si>
    <t xml:space="preserve">Applied Engineering Economics </t>
  </si>
  <si>
    <t>Spring only (S2)</t>
  </si>
  <si>
    <t xml:space="preserve">ENMGT 5980 </t>
  </si>
  <si>
    <t>Decision Framing and Analytics</t>
  </si>
  <si>
    <t xml:space="preserve">Fall only </t>
  </si>
  <si>
    <t>ENMGT 5405</t>
  </si>
  <si>
    <t>Applied AI for Technical Teams</t>
  </si>
  <si>
    <t>ENMGT 6001</t>
  </si>
  <si>
    <t>Residential Session I</t>
  </si>
  <si>
    <t>Summer</t>
  </si>
  <si>
    <t>ENMGT 6002</t>
  </si>
  <si>
    <t>Residential Session II *</t>
  </si>
  <si>
    <t xml:space="preserve">ENMGT 6010 </t>
  </si>
  <si>
    <t>Professional Development Workshop for Engineering Managers</t>
  </si>
  <si>
    <t>Fall and Spring</t>
  </si>
  <si>
    <t>ENMGT 6011</t>
  </si>
  <si>
    <t>* Prerequisites ENMGT 5900, ENMGT 5930, ENMGT 5940, and ENMGT 5980.</t>
  </si>
  <si>
    <t>** Students can choose to attend Residential Session II or take two 0.5 Professional Development Workshops</t>
  </si>
  <si>
    <t xml:space="preserve">Organizational Behavior (choose one of these four - 3 credits required) </t>
  </si>
  <si>
    <t>ENMGT 5300</t>
  </si>
  <si>
    <t>Technology Strategy and Roadmapping</t>
  </si>
  <si>
    <t>Spring only</t>
  </si>
  <si>
    <t>ENMGT 5960</t>
  </si>
  <si>
    <t>Negotiations and Contracts for Engineering Management</t>
  </si>
  <si>
    <t>ENMGT 6020</t>
  </si>
  <si>
    <t>Managing a Culture of Innovation</t>
  </si>
  <si>
    <t>ENMGT 6030</t>
  </si>
  <si>
    <t>Learning To Lead</t>
  </si>
  <si>
    <t>Spring Only</t>
  </si>
  <si>
    <t xml:space="preserve">Specialization Electives (at least two courses required) </t>
  </si>
  <si>
    <t>ENMGT 5200</t>
  </si>
  <si>
    <t>Economics of the Energy Transition</t>
  </si>
  <si>
    <t>ENMGT 5500</t>
  </si>
  <si>
    <t>Digital Marketing for Engineering Managers</t>
  </si>
  <si>
    <t>ENMGT 5920</t>
  </si>
  <si>
    <t xml:space="preserve">Product Management </t>
  </si>
  <si>
    <t>Learning to Lead</t>
  </si>
  <si>
    <t>ENMGT 6095 (IND 603)</t>
  </si>
  <si>
    <t xml:space="preserve">AI Value Generation for Engineering Management </t>
  </si>
  <si>
    <t>ENMGT 5400</t>
  </si>
  <si>
    <t xml:space="preserve">Applications of AI for Engineering Management </t>
  </si>
  <si>
    <t>ENMGT 6092</t>
  </si>
  <si>
    <t>Overcoming Gender Bias in Engineering Management Leadership</t>
  </si>
  <si>
    <t>CEE 6800</t>
  </si>
  <si>
    <t>Engineering Smart Cities</t>
  </si>
  <si>
    <t>NBA 5070</t>
  </si>
  <si>
    <t xml:space="preserve">Entrepreneurship for Scientists and Engineers </t>
  </si>
  <si>
    <t>SYSEN 5740</t>
  </si>
  <si>
    <t>Design Thinking for Complex Systems</t>
  </si>
  <si>
    <t>CEE 6055</t>
  </si>
  <si>
    <t>Special Topics: Renewable Energy Systems</t>
  </si>
  <si>
    <t>Credits by Semester</t>
  </si>
  <si>
    <r>
      <t xml:space="preserve">Total Program Credits for </t>
    </r>
    <r>
      <rPr>
        <b/>
        <u/>
        <family val="2"/>
        <sz val="11"/>
        <rFont val="Calibri"/>
      </rPr>
      <t>all</t>
    </r>
    <r>
      <rPr>
        <b/>
        <color rgb="FF000000"/>
        <family val="2"/>
        <sz val="11"/>
        <rFont val="Calibri"/>
      </rPr>
      <t xml:space="preserve"> Semesters ≥ 30</t>
    </r>
  </si>
  <si>
    <t>* Residential Intensive II Optional with Professional Development Workshops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</si>
</sst>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i/>
      <color rgb="FFFF0000"/>
      <family val="2"/>
      <scheme val="minor"/>
      <sz val="9"/>
      <name val="Calibri"/>
    </font>
    <font>
      <b/>
      <color rgb="FF000000"/>
      <family val="2"/>
      <sz val="18"/>
      <name val="Calibri"/>
    </font>
    <font>
      <b/>
      <color theme="1"/>
      <family val="2"/>
      <scheme val="minor"/>
      <sz val="11"/>
      <name val="Calibri"/>
    </font>
    <font>
      <color rgb="FF000000"/>
      <family val="2"/>
      <sz val="12"/>
      <name val="Calibri"/>
    </font>
    <font>
      <b/>
      <color rgb="FF000000"/>
      <family val="2"/>
      <sz val="12"/>
      <name val="Calibri"/>
    </font>
    <font>
      <b/>
      <u/>
      <color theme="10"/>
      <family val="2"/>
      <scheme val="minor"/>
      <sz val="14"/>
      <name val="Calibri"/>
    </font>
    <font>
      <b/>
      <color theme="0" tint="-0.499984740745262"/>
      <family val="2"/>
      <sz val="12"/>
      <name val="Calibri"/>
    </font>
    <font>
      <family val="2"/>
      <sz val="11"/>
      <name val="Calibri"/>
    </font>
    <font>
      <family val="2"/>
      <sz val="12"/>
      <name val="Calibri"/>
    </font>
    <font>
      <i/>
      <color theme="0" tint="-0.499984740745262"/>
      <family val="2"/>
      <sz val="12"/>
      <name val="Calibri"/>
    </font>
    <font>
      <color theme="2" tint="-0.499984740745262"/>
      <family val="2"/>
      <sz val="12"/>
      <name val="Calibri"/>
    </font>
    <font>
      <color rgb="FF000000"/>
      <family val="2"/>
      <scheme val="minor"/>
      <sz val="12"/>
      <name val="Calibri"/>
    </font>
    <font>
      <family val="2"/>
      <scheme val="minor"/>
      <sz val="11"/>
      <name val="Calibri"/>
    </font>
    <font>
      <family val="2"/>
      <scheme val="minor"/>
      <sz val="12"/>
      <name val="Calibri"/>
    </font>
    <font>
      <b/>
      <family val="2"/>
      <sz val="12"/>
      <name val="Calibri"/>
    </font>
    <font>
      <color theme="0" tint="-0.499984740745262"/>
      <family val="2"/>
      <sz val="12"/>
      <name val="Calibri"/>
    </font>
    <font>
      <i/>
      <color theme="0" tint="-0.3499862666707358"/>
      <family val="2"/>
      <sz val="12"/>
      <name val="Calibri"/>
    </font>
    <font>
      <b/>
      <family val="2"/>
      <sz val="11"/>
      <name val="Calibri"/>
    </font>
    <font>
      <i/>
      <color theme="0" tint="-0.499984740745262"/>
      <family val="2"/>
      <sz val="11"/>
      <name val="Calibri"/>
    </font>
    <font>
      <i/>
      <color theme="0" tint="-0.499984740745262"/>
      <family val="2"/>
      <scheme val="minor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center"/>
    </xf>
    <xf numFmtId="0" fontId="4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4" fillId="0" borderId="4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8" fillId="0" borderId="7" xfId="0" applyFont="1" applyBorder="1"/>
    <xf numFmtId="0" fontId="5" fillId="0" borderId="8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3" xfId="0" applyFont="1" applyBorder="1" applyAlignment="1">
      <alignment vertical="center" wrapText="1"/>
    </xf>
    <xf numFmtId="0" fontId="9" fillId="0" borderId="9" xfId="0" applyFont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vertical="center" wrapText="1"/>
    </xf>
    <xf numFmtId="0" fontId="9" fillId="0" borderId="14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6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1" xfId="0" applyFont="1" applyBorder="1"/>
    <xf numFmtId="0" fontId="9" fillId="0" borderId="19" xfId="0" applyFont="1" applyBorder="1" applyAlignment="1">
      <alignment vertical="center" wrapText="1"/>
    </xf>
    <xf numFmtId="0" fontId="9" fillId="0" borderId="7" xfId="0" applyFont="1" applyBorder="1"/>
    <xf numFmtId="0" fontId="10" fillId="0" borderId="20" xfId="0" applyFont="1" applyBorder="1" applyAlignment="1">
      <alignment vertical="center"/>
    </xf>
    <xf numFmtId="0" fontId="0" fillId="0" borderId="21" xfId="0" applyBorder="1"/>
    <xf numFmtId="0" fontId="5" fillId="4" borderId="0" xfId="0" applyFont="1" applyFill="1" applyAlignment="1">
      <alignment horizontal="left" indent="12"/>
    </xf>
    <xf numFmtId="0" fontId="11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22" xfId="0" applyFont="1" applyBorder="1"/>
    <xf numFmtId="0" fontId="12" fillId="0" borderId="1" xfId="0" applyFont="1" applyBorder="1" applyAlignment="1">
      <alignment vertical="center" wrapText="1"/>
    </xf>
    <xf numFmtId="0" fontId="12" fillId="0" borderId="1" xfId="0" applyFont="1" applyBorder="1"/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vertical="center"/>
    </xf>
    <xf numFmtId="0" fontId="9" fillId="0" borderId="23" xfId="0" applyFont="1" applyBorder="1" applyAlignment="1">
      <alignment vertical="center" wrapText="1"/>
    </xf>
    <xf numFmtId="0" fontId="5" fillId="0" borderId="21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8" fillId="0" borderId="0" xfId="0" applyFont="1"/>
    <xf numFmtId="0" fontId="1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0" fontId="12" fillId="2" borderId="1" xfId="0" applyFont="1" applyFill="1" applyBorder="1"/>
    <xf numFmtId="0" fontId="12" fillId="0" borderId="0" xfId="0" applyFont="1"/>
    <xf numFmtId="0" fontId="9" fillId="0" borderId="18" xfId="0" applyFont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24" xfId="0" applyFont="1" applyBorder="1" applyAlignment="1">
      <alignment vertical="center"/>
    </xf>
    <xf numFmtId="0" fontId="16" fillId="0" borderId="0" xfId="0" applyFont="1" applyAlignment="1">
      <alignment horizontal="right" vertical="center" wrapText="1" inden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right" vertical="center" wrapText="1"/>
    </xf>
    <xf numFmtId="0" fontId="5" fillId="5" borderId="0" xfId="0" applyFont="1" applyFill="1" applyAlignment="1">
      <alignment horizontal="center" vertical="center" wrapText="1"/>
    </xf>
    <xf numFmtId="0" fontId="18" fillId="5" borderId="0" xfId="0" applyFont="1" applyFill="1" applyAlignment="1">
      <alignment horizontal="center"/>
    </xf>
    <xf numFmtId="0" fontId="5" fillId="0" borderId="14" xfId="0" applyFont="1" applyBorder="1" applyAlignment="1">
      <alignment horizontal="center" vertical="center" wrapText="1"/>
    </xf>
    <xf numFmtId="0" fontId="8" fillId="0" borderId="25" xfId="0" applyFont="1" applyBorder="1"/>
    <xf numFmtId="0" fontId="8" fillId="0" borderId="8" xfId="0" applyFont="1" applyBorder="1"/>
    <xf numFmtId="0" fontId="1" fillId="5" borderId="0" xfId="0" applyFont="1" applyFill="1"/>
    <xf numFmtId="0" fontId="0" fillId="0" borderId="0" xfId="0" applyAlignment="1">
      <alignment horizontal="left" indent="1"/>
    </xf>
    <xf numFmtId="0" fontId="19" fillId="0" borderId="0" xfId="0" applyFont="1" applyAlignment="1">
      <alignment vertical="center"/>
    </xf>
    <xf numFmtId="0" fontId="2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pp.smartsheet.com/b/form/4a6b141118004b989ee0a390620f883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60"/>
  <sheetViews>
    <sheetView workbookViewId="0" zoomScale="100" zoomScaleNormal="100">
      <selection activeCell="C20" sqref="C20"/>
    </sheetView>
  </sheetViews>
  <sheetFormatPr defaultRowHeight="15" outlineLevelRow="0" outlineLevelCol="0" x14ac:dyDescent="0.2" defaultColWidth="8.83203125"/>
  <cols>
    <col min="1" max="1" width="4" customWidth="1"/>
    <col min="2" max="2" width="35.5" customWidth="1"/>
    <col min="3" max="3" width="62.1640625" customWidth="1"/>
    <col min="4" max="9" width="8.33203125" customWidth="1"/>
    <col min="10" max="10" width="7.6640625" customWidth="1"/>
    <col min="11" max="16" width="8.33203125" customWidth="1"/>
    <col min="17" max="17" width="22.6640625" customWidth="1"/>
    <col min="18" max="18" width="3.6640625" customWidth="1"/>
    <col min="19" max="19" width="34.5" style="1" customWidth="1"/>
    <col min="20" max="24" width="9.1640625" hidden="1" customWidth="1"/>
    <col min="25" max="25" width="12.5" hidden="1" customWidth="1"/>
    <col min="26" max="26" width="15.5" hidden="1" customWidth="1"/>
  </cols>
  <sheetData>
    <row r="1" ht="12" customHeight="1" spans="25:26" x14ac:dyDescent="0.25">
      <c r="Y1" t="s">
        <v>0</v>
      </c>
      <c r="Z1" t="s">
        <v>0</v>
      </c>
    </row>
    <row r="2" ht="26.25" customHeight="1" spans="2:26" x14ac:dyDescent="0.25">
      <c r="B2" s="2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1" t="s">
        <v>2</v>
      </c>
      <c r="Y2" s="4" t="s">
        <v>3</v>
      </c>
      <c r="Z2" s="4" t="s">
        <v>4</v>
      </c>
    </row>
    <row r="3" ht="12" customHeight="1" spans="2:26" x14ac:dyDescent="0.25">
      <c r="B3" s="5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Y3" t="s">
        <v>5</v>
      </c>
      <c r="Z3" t="s">
        <v>6</v>
      </c>
    </row>
    <row r="4" ht="15.75" customHeight="1" spans="2:26" x14ac:dyDescent="0.25">
      <c r="B4" s="6" t="s">
        <v>7</v>
      </c>
      <c r="C4" s="7" t="s">
        <v>8</v>
      </c>
      <c r="D4" s="8"/>
      <c r="E4" s="9" t="s">
        <v>9</v>
      </c>
      <c r="F4" s="9"/>
      <c r="G4" s="10" t="s">
        <v>10</v>
      </c>
      <c r="H4" s="10"/>
      <c r="I4" s="8"/>
      <c r="J4" s="8"/>
      <c r="K4" s="8"/>
      <c r="L4" s="8"/>
      <c r="M4" s="8"/>
      <c r="N4" s="8"/>
      <c r="O4" s="8"/>
      <c r="P4" s="8"/>
      <c r="Q4" s="8"/>
      <c r="S4" s="1" t="str">
        <f>IF(ISBLANK(C4),"Error, Name Missing","okay")</f>
        <v>Error, Name Missing</v>
      </c>
      <c r="Y4" t="s">
        <v>11</v>
      </c>
      <c r="Z4" t="s">
        <v>12</v>
      </c>
    </row>
    <row r="5" ht="15.75" customHeight="1" spans="2:26" x14ac:dyDescent="0.25">
      <c r="B5" s="6" t="s">
        <v>13</v>
      </c>
      <c r="C5" s="7" t="s">
        <v>14</v>
      </c>
      <c r="D5" s="8"/>
      <c r="E5" s="9" t="s">
        <v>15</v>
      </c>
      <c r="F5" s="9"/>
      <c r="G5" s="10" t="s">
        <v>16</v>
      </c>
      <c r="H5" s="10"/>
      <c r="I5" s="8"/>
      <c r="J5" s="8"/>
      <c r="K5" s="8"/>
      <c r="L5" s="8"/>
      <c r="M5" s="8"/>
      <c r="N5" s="8"/>
      <c r="O5" s="8"/>
      <c r="P5" s="8"/>
      <c r="Q5" s="8"/>
      <c r="S5" s="1" t="str">
        <f>IF(ISBLANK(C5),"Error, Student ID# Missing","okay")</f>
        <v>Error, Student ID# Missing</v>
      </c>
      <c r="Y5" t="s">
        <v>17</v>
      </c>
      <c r="Z5" t="s">
        <v>18</v>
      </c>
    </row>
    <row r="6" ht="15.75" customHeight="1" spans="2:25" x14ac:dyDescent="0.25">
      <c r="B6" s="6" t="s">
        <v>19</v>
      </c>
      <c r="C6" s="7" t="s">
        <v>20</v>
      </c>
      <c r="D6" s="8"/>
      <c r="E6" s="9" t="s">
        <v>21</v>
      </c>
      <c r="F6" s="9"/>
      <c r="G6" s="10" t="s">
        <v>12</v>
      </c>
      <c r="H6" s="10"/>
      <c r="I6" s="8"/>
      <c r="J6" s="8"/>
      <c r="K6" s="8"/>
      <c r="L6" s="8"/>
      <c r="M6" s="8"/>
      <c r="N6" s="8"/>
      <c r="O6" s="8"/>
      <c r="P6" s="8"/>
      <c r="Q6" s="8"/>
      <c r="S6" s="1" t="str">
        <f>IF(ISBLANK(C6),"Error, NetID# Missing","okay")</f>
        <v>Error, NetID# Missing</v>
      </c>
      <c r="Y6" t="s">
        <v>22</v>
      </c>
    </row>
    <row r="7" ht="15.75" customHeight="1" spans="2:25" x14ac:dyDescent="0.25">
      <c r="B7" s="11"/>
      <c r="C7" s="11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S7" s="1" t="str">
        <f>IF(ISBLANK(G4),"Error, Starting Missing","okay")</f>
        <v>Error, Starting Missing</v>
      </c>
      <c r="Y7" t="s">
        <v>23</v>
      </c>
    </row>
    <row r="8" ht="15.75" customHeight="1" spans="2:25" x14ac:dyDescent="0.25">
      <c r="B8" s="12" t="s">
        <v>24</v>
      </c>
      <c r="C8" s="13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S8" s="1" t="str">
        <f>IF(ISBLANK(G5),"Error, Graduating Missing","okay")</f>
        <v>Error, Graduating Missing</v>
      </c>
      <c r="Y8" t="s">
        <v>25</v>
      </c>
    </row>
    <row r="9" ht="15.75" customHeight="1" spans="2:25" x14ac:dyDescent="0.25">
      <c r="B9" s="12" t="s">
        <v>26</v>
      </c>
      <c r="C9" s="13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S9" s="1" t="str">
        <f>IF(ISBLANK(G6),"Error, Advisor name Missing","okay")</f>
        <v>Error, Advisor name Missing</v>
      </c>
      <c r="Y9" t="s">
        <v>27</v>
      </c>
    </row>
    <row r="10" ht="15.75" customHeight="1" spans="2:25" x14ac:dyDescent="0.25">
      <c r="B10" s="14" t="s">
        <v>28</v>
      </c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Y10" t="s">
        <v>10</v>
      </c>
    </row>
    <row r="11" ht="15.75" customHeight="1" spans="2:25" x14ac:dyDescent="0.25">
      <c r="B11" s="13"/>
      <c r="C11"/>
      <c r="D11" s="15"/>
      <c r="E11" s="16" t="s">
        <v>29</v>
      </c>
      <c r="F11" s="16"/>
      <c r="G11" s="17"/>
      <c r="H11" s="17"/>
      <c r="I11" s="17"/>
      <c r="J11" s="18"/>
      <c r="K11" s="17"/>
      <c r="L11" s="17"/>
      <c r="M11" s="17"/>
      <c r="N11" s="16"/>
      <c r="O11" s="19"/>
      <c r="P11" s="20"/>
      <c r="Q11" s="8"/>
      <c r="Y11" t="s">
        <v>30</v>
      </c>
    </row>
    <row r="12" ht="15.75" customHeight="1" spans="2:25" x14ac:dyDescent="0.25">
      <c r="B12" s="21" t="s">
        <v>31</v>
      </c>
      <c r="C12" s="22"/>
      <c r="D12" s="23" t="s">
        <v>32</v>
      </c>
      <c r="E12" s="23" t="s">
        <v>33</v>
      </c>
      <c r="F12" s="23" t="s">
        <v>34</v>
      </c>
      <c r="G12" s="23" t="s">
        <v>35</v>
      </c>
      <c r="H12" s="23" t="s">
        <v>36</v>
      </c>
      <c r="I12" s="23" t="s">
        <v>37</v>
      </c>
      <c r="J12" s="23" t="s">
        <v>38</v>
      </c>
      <c r="K12" s="24" t="s">
        <v>39</v>
      </c>
      <c r="L12" s="24" t="s">
        <v>40</v>
      </c>
      <c r="M12" s="24" t="s">
        <v>41</v>
      </c>
      <c r="N12" s="25" t="s">
        <v>42</v>
      </c>
      <c r="O12" s="25" t="s">
        <v>43</v>
      </c>
      <c r="P12" s="26" t="s">
        <v>44</v>
      </c>
      <c r="Q12" s="27" t="s">
        <v>45</v>
      </c>
      <c r="Y12" t="s">
        <v>46</v>
      </c>
    </row>
    <row r="13" ht="15.75" customHeight="1" spans="2:25" x14ac:dyDescent="0.25">
      <c r="B13" s="28" t="s">
        <v>47</v>
      </c>
      <c r="C13" s="29" t="s">
        <v>48</v>
      </c>
      <c r="D13" s="30">
        <v>1</v>
      </c>
      <c r="E13" s="31"/>
      <c r="F13" s="32">
        <v>1</v>
      </c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3" t="s">
        <v>49</v>
      </c>
      <c r="S13" s="1" t="str">
        <f>IF(SUM(E13:P13)=D13,"okay","Missing required course or wrong number of credit hours")</f>
        <v>Missing required course or wrong number of credit hours</v>
      </c>
      <c r="Y13" t="s">
        <v>50</v>
      </c>
    </row>
    <row r="14" ht="15.75" customHeight="1" spans="2:25" x14ac:dyDescent="0.25">
      <c r="B14" s="28" t="s">
        <v>51</v>
      </c>
      <c r="C14" s="29" t="s">
        <v>52</v>
      </c>
      <c r="D14" s="30">
        <v>4</v>
      </c>
      <c r="E14" s="32">
        <v>4</v>
      </c>
      <c r="F14" s="34"/>
      <c r="G14" s="34"/>
      <c r="H14" s="32"/>
      <c r="I14" s="34"/>
      <c r="J14" s="34"/>
      <c r="K14" s="32"/>
      <c r="L14" s="34"/>
      <c r="M14" s="34"/>
      <c r="N14" s="32"/>
      <c r="O14" s="30"/>
      <c r="P14" s="35"/>
      <c r="Q14" s="33" t="s">
        <v>53</v>
      </c>
      <c r="S14" s="1" t="str">
        <f t="shared" ref="S14:S22" si="0">IF(SUM(E14:P14)=D14,"okay","Missing required course or wrong number of credit hours")</f>
        <v>Missing required course or wrong number of credit hours</v>
      </c>
      <c r="Y14" t="s">
        <v>54</v>
      </c>
    </row>
    <row r="15" ht="15" customHeight="1" spans="2:25" x14ac:dyDescent="0.25">
      <c r="B15" s="36" t="s">
        <v>55</v>
      </c>
      <c r="C15" s="37" t="s">
        <v>56</v>
      </c>
      <c r="D15" s="38">
        <v>4</v>
      </c>
      <c r="E15" s="32"/>
      <c r="F15" s="32"/>
      <c r="G15" s="32"/>
      <c r="H15" s="32">
        <v>4</v>
      </c>
      <c r="I15" s="34"/>
      <c r="J15" s="34"/>
      <c r="K15" s="32"/>
      <c r="L15" s="34"/>
      <c r="M15" s="34"/>
      <c r="N15" s="32"/>
      <c r="O15" s="30"/>
      <c r="P15" s="35"/>
      <c r="Q15" s="33" t="s">
        <v>57</v>
      </c>
      <c r="S15" s="1" t="str">
        <f t="shared" si="0"/>
        <v>Missing required course or wrong number of credit hours</v>
      </c>
      <c r="Y15" t="s">
        <v>58</v>
      </c>
    </row>
    <row r="16" ht="17" customHeight="1" spans="2:25" x14ac:dyDescent="0.25">
      <c r="B16" s="36" t="s">
        <v>59</v>
      </c>
      <c r="C16" s="39" t="s">
        <v>60</v>
      </c>
      <c r="D16" s="30">
        <v>3</v>
      </c>
      <c r="E16" s="32"/>
      <c r="F16" s="30"/>
      <c r="G16" s="32">
        <v>3</v>
      </c>
      <c r="H16" s="32"/>
      <c r="I16" s="30"/>
      <c r="J16" s="32"/>
      <c r="K16" s="32"/>
      <c r="L16" s="30"/>
      <c r="M16" s="32"/>
      <c r="N16" s="32"/>
      <c r="O16" s="30"/>
      <c r="P16" s="32"/>
      <c r="Q16" s="33" t="s">
        <v>61</v>
      </c>
      <c r="S16" s="1" t="str">
        <f t="shared" si="0"/>
        <v>Missing required course or wrong number of credit hours</v>
      </c>
      <c r="Y16" t="s">
        <v>16</v>
      </c>
    </row>
    <row r="17" ht="15.75" customHeight="1" spans="2:25" x14ac:dyDescent="0.25">
      <c r="B17" s="40" t="s">
        <v>62</v>
      </c>
      <c r="C17" s="41" t="s">
        <v>63</v>
      </c>
      <c r="D17" s="30">
        <v>1.5</v>
      </c>
      <c r="E17" s="32"/>
      <c r="F17" s="32"/>
      <c r="G17" s="30"/>
      <c r="H17" s="32"/>
      <c r="I17" s="32"/>
      <c r="J17" s="30"/>
      <c r="K17" s="32"/>
      <c r="L17" s="32"/>
      <c r="M17" s="30"/>
      <c r="N17" s="32"/>
      <c r="O17" s="32"/>
      <c r="P17" s="30"/>
      <c r="Q17" s="33" t="s">
        <v>64</v>
      </c>
      <c r="S17" s="1" t="str">
        <f t="shared" si="0"/>
        <v>Missing required course or wrong number of credit hours</v>
      </c>
      <c r="Y17" t="s">
        <v>65</v>
      </c>
    </row>
    <row r="18" ht="15.75" customHeight="1" spans="2:19" x14ac:dyDescent="0.25">
      <c r="B18" s="42" t="s">
        <v>66</v>
      </c>
      <c r="C18" s="42" t="s">
        <v>67</v>
      </c>
      <c r="D18" s="43">
        <v>1.5</v>
      </c>
      <c r="E18" s="32"/>
      <c r="F18" s="32"/>
      <c r="G18" s="30"/>
      <c r="H18" s="32"/>
      <c r="I18" s="32"/>
      <c r="J18" s="30"/>
      <c r="K18" s="32"/>
      <c r="L18" s="32"/>
      <c r="M18" s="30"/>
      <c r="N18" s="32"/>
      <c r="O18" s="32"/>
      <c r="P18" s="30"/>
      <c r="Q18" s="33" t="s">
        <v>68</v>
      </c>
      <c r="S18" s="1" t="str">
        <f t="shared" si="0"/>
        <v>Missing required course or wrong number of credit hours</v>
      </c>
    </row>
    <row r="19" ht="15.75" customHeight="1" spans="2:19" x14ac:dyDescent="0.25">
      <c r="B19" s="42" t="s">
        <v>69</v>
      </c>
      <c r="C19" s="44" t="s">
        <v>70</v>
      </c>
      <c r="D19" s="43">
        <v>3</v>
      </c>
      <c r="E19" s="32"/>
      <c r="F19" s="30"/>
      <c r="G19" s="32">
        <v>3</v>
      </c>
      <c r="H19" s="32"/>
      <c r="I19" s="30"/>
      <c r="J19" s="32"/>
      <c r="K19" s="32"/>
      <c r="L19" s="30"/>
      <c r="M19" s="32"/>
      <c r="N19" s="32"/>
      <c r="O19" s="30"/>
      <c r="P19" s="32"/>
      <c r="Q19" s="33" t="s">
        <v>71</v>
      </c>
      <c r="S19" s="1" t="str">
        <f t="shared" si="0"/>
        <v>Missing required course or wrong number of credit hours</v>
      </c>
    </row>
    <row r="20" ht="15.75" customHeight="1" spans="2:19" x14ac:dyDescent="0.25">
      <c r="B20" s="45" t="s">
        <v>72</v>
      </c>
      <c r="C20" s="46" t="s">
        <v>73</v>
      </c>
      <c r="D20" s="43">
        <v>3</v>
      </c>
      <c r="E20" s="32"/>
      <c r="F20" s="30"/>
      <c r="G20" s="32"/>
      <c r="H20" s="32"/>
      <c r="I20" s="30"/>
      <c r="J20" s="32"/>
      <c r="K20" s="32"/>
      <c r="L20" s="30"/>
      <c r="M20" s="32"/>
      <c r="N20" s="32"/>
      <c r="O20" s="30"/>
      <c r="P20" s="32"/>
      <c r="Q20" s="33" t="s">
        <v>61</v>
      </c>
      <c r="S20" s="1" t="str">
        <f t="shared" si="0"/>
        <v>Missing required course or wrong number of credit hours</v>
      </c>
    </row>
    <row r="21" ht="15.75" customHeight="1" spans="2:19" x14ac:dyDescent="0.25">
      <c r="B21" s="36" t="s">
        <v>74</v>
      </c>
      <c r="C21" s="29" t="s">
        <v>75</v>
      </c>
      <c r="D21" s="30">
        <v>1</v>
      </c>
      <c r="E21" s="30"/>
      <c r="F21" s="32">
        <v>1</v>
      </c>
      <c r="G21" s="32"/>
      <c r="H21" s="30"/>
      <c r="I21" s="32"/>
      <c r="J21" s="32"/>
      <c r="K21" s="32"/>
      <c r="L21" s="32"/>
      <c r="M21" s="32"/>
      <c r="N21" s="32"/>
      <c r="O21" s="32"/>
      <c r="P21" s="32"/>
      <c r="Q21" s="33" t="s">
        <v>76</v>
      </c>
      <c r="S21" s="1" t="str">
        <f t="shared" si="0"/>
        <v>Missing required course or wrong number of credit hours</v>
      </c>
    </row>
    <row r="22" ht="15.75" customHeight="1" spans="2:19" x14ac:dyDescent="0.25">
      <c r="B22" s="36" t="s">
        <v>77</v>
      </c>
      <c r="C22" s="39" t="s">
        <v>78</v>
      </c>
      <c r="D22" s="30">
        <v>1</v>
      </c>
      <c r="E22" s="30"/>
      <c r="F22" s="32">
        <v>1</v>
      </c>
      <c r="G22" s="32"/>
      <c r="H22" s="30"/>
      <c r="I22" s="32"/>
      <c r="J22" s="32"/>
      <c r="K22" s="32"/>
      <c r="L22" s="32"/>
      <c r="M22" s="32"/>
      <c r="N22" s="32"/>
      <c r="O22" s="32"/>
      <c r="P22" s="32"/>
      <c r="Q22" s="33" t="s">
        <v>76</v>
      </c>
      <c r="S22" s="1" t="str">
        <f t="shared" si="0"/>
        <v>Missing required course or wrong number of credit hours</v>
      </c>
    </row>
    <row r="23" ht="15.75" customHeight="1" spans="2:19" x14ac:dyDescent="0.25">
      <c r="B23" s="36" t="s">
        <v>79</v>
      </c>
      <c r="C23" s="39" t="s">
        <v>80</v>
      </c>
      <c r="D23" s="30">
        <v>0.5</v>
      </c>
      <c r="E23" s="32"/>
      <c r="F23" s="31"/>
      <c r="G23" s="32"/>
      <c r="H23" s="32"/>
      <c r="I23" s="31"/>
      <c r="J23" s="32"/>
      <c r="K23" s="32"/>
      <c r="L23" s="31"/>
      <c r="M23" s="32"/>
      <c r="N23" s="32"/>
      <c r="O23" s="31"/>
      <c r="P23" s="32"/>
      <c r="Q23" s="33" t="s">
        <v>81</v>
      </c>
      <c r="S23" s="1" t="str">
        <f>IF(SUM(E23:P23)=D23,"okay","Missing required course or wrong number of credit hours")</f>
        <v>Missing required course or wrong number of credit hours</v>
      </c>
    </row>
    <row r="24" ht="15.75" customHeight="1" spans="2:19" x14ac:dyDescent="0.25">
      <c r="B24" s="36" t="s">
        <v>82</v>
      </c>
      <c r="C24" s="39" t="s">
        <v>80</v>
      </c>
      <c r="D24" s="30">
        <v>0.5</v>
      </c>
      <c r="E24" s="32"/>
      <c r="F24" s="32"/>
      <c r="G24" s="31"/>
      <c r="H24" s="32"/>
      <c r="I24" s="32"/>
      <c r="J24" s="31"/>
      <c r="K24" s="32"/>
      <c r="L24" s="32"/>
      <c r="M24" s="31"/>
      <c r="N24" s="32"/>
      <c r="O24" s="32"/>
      <c r="P24" s="31"/>
      <c r="Q24" s="33" t="s">
        <v>81</v>
      </c>
      <c r="S24" s="1" t="str">
        <f>IF(SUM(E24:P24)=D24,"okay","Missing required course or wrong number of credit hours")</f>
        <v>Missing required course or wrong number of credit hours</v>
      </c>
    </row>
    <row r="25" ht="15.75" customHeight="1" spans="2:19" x14ac:dyDescent="0.25">
      <c r="B25" s="47" t="s">
        <v>83</v>
      </c>
      <c r="D25" s="48"/>
      <c r="E25" s="49">
        <f>SUM(E13:P24)</f>
        <v>0</v>
      </c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S25" s="1" t="str">
        <f>IF(E25&lt;23,"23 or more credit hours expected","okay")</f>
        <v>23 or more credit hours expected</v>
      </c>
    </row>
    <row r="26" ht="15.75" customHeight="1" spans="2:19" x14ac:dyDescent="0.25">
      <c r="B26" s="50" t="s">
        <v>84</v>
      </c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</row>
    <row r="27" ht="15.75" customHeight="1" spans="2:19" x14ac:dyDescent="0.25">
      <c r="B27" s="52"/>
      <c r="C27" s="52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</row>
    <row r="28" ht="15.75" customHeight="1" spans="2:19" x14ac:dyDescent="0.25">
      <c r="B28" s="53" t="s">
        <v>85</v>
      </c>
      <c r="C28" s="37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</row>
    <row r="29" ht="15.75" customHeight="1" spans="2:17" x14ac:dyDescent="0.25">
      <c r="B29" s="54" t="s">
        <v>86</v>
      </c>
      <c r="C29" s="55" t="s">
        <v>87</v>
      </c>
      <c r="D29" s="30">
        <v>3</v>
      </c>
      <c r="E29" s="32"/>
      <c r="F29" s="32"/>
      <c r="G29" s="30"/>
      <c r="H29" s="32"/>
      <c r="I29" s="32"/>
      <c r="J29" s="30"/>
      <c r="K29" s="32"/>
      <c r="L29" s="32"/>
      <c r="M29" s="30"/>
      <c r="N29" s="32"/>
      <c r="O29" s="32"/>
      <c r="P29" s="30"/>
      <c r="Q29" s="39" t="s">
        <v>88</v>
      </c>
    </row>
    <row r="30" ht="15.75" customHeight="1" spans="2:17" x14ac:dyDescent="0.25">
      <c r="B30" s="44" t="s">
        <v>89</v>
      </c>
      <c r="C30" s="56" t="s">
        <v>90</v>
      </c>
      <c r="D30" s="43">
        <v>3</v>
      </c>
      <c r="E30" s="32"/>
      <c r="F30" s="30"/>
      <c r="G30" s="32">
        <v>3</v>
      </c>
      <c r="H30" s="32"/>
      <c r="I30" s="30"/>
      <c r="J30" s="32"/>
      <c r="K30" s="32"/>
      <c r="L30" s="30"/>
      <c r="M30" s="32"/>
      <c r="N30" s="32"/>
      <c r="O30" s="30"/>
      <c r="P30" s="32"/>
      <c r="Q30" s="33" t="s">
        <v>71</v>
      </c>
    </row>
    <row r="31" ht="15.75" customHeight="1" spans="2:17" x14ac:dyDescent="0.25">
      <c r="B31" s="44" t="s">
        <v>91</v>
      </c>
      <c r="C31" s="57" t="s">
        <v>92</v>
      </c>
      <c r="D31" s="30">
        <v>3</v>
      </c>
      <c r="E31" s="32"/>
      <c r="F31" s="30"/>
      <c r="G31" s="32"/>
      <c r="H31" s="32"/>
      <c r="I31" s="30"/>
      <c r="J31" s="32"/>
      <c r="K31" s="32"/>
      <c r="L31" s="30"/>
      <c r="M31" s="32"/>
      <c r="N31" s="32"/>
      <c r="O31" s="30"/>
      <c r="P31" s="32"/>
      <c r="Q31" s="58" t="s">
        <v>71</v>
      </c>
    </row>
    <row r="32" ht="15.75" customHeight="1" spans="2:17" x14ac:dyDescent="0.25">
      <c r="B32" s="44" t="s">
        <v>93</v>
      </c>
      <c r="C32" s="7" t="s">
        <v>94</v>
      </c>
      <c r="D32" s="43">
        <v>3</v>
      </c>
      <c r="E32" s="32"/>
      <c r="F32" s="32"/>
      <c r="G32" s="30"/>
      <c r="H32" s="32"/>
      <c r="I32" s="32"/>
      <c r="J32" s="30"/>
      <c r="K32" s="32"/>
      <c r="L32" s="32"/>
      <c r="M32" s="30"/>
      <c r="N32" s="32"/>
      <c r="O32" s="32"/>
      <c r="P32" s="30"/>
      <c r="Q32" s="7" t="s">
        <v>95</v>
      </c>
    </row>
    <row r="33" ht="15.75" customHeight="1" spans="2:19" x14ac:dyDescent="0.25">
      <c r="B33" s="8"/>
      <c r="C33" s="8"/>
      <c r="D33" s="59"/>
      <c r="E33" s="49">
        <f>SUM(E29:P32)</f>
        <v>0</v>
      </c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8"/>
      <c r="S33" s="1" t="str">
        <f>IF(E33&lt;3,"3 or more credit hours expected","okay")</f>
        <v>3 or more credit hours expected</v>
      </c>
    </row>
    <row r="34" ht="15.75" customHeight="1" spans="2:17" x14ac:dyDescent="0.25">
      <c r="B34" s="8"/>
      <c r="C34" s="8"/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1"/>
      <c r="P34" s="61"/>
      <c r="Q34" s="62"/>
    </row>
    <row r="35" ht="15.75" customHeight="1" spans="2:17" x14ac:dyDescent="0.25">
      <c r="B35" s="53" t="s">
        <v>96</v>
      </c>
      <c r="C35" s="8"/>
      <c r="D35" s="63"/>
      <c r="E35" s="63"/>
      <c r="F35" s="63"/>
      <c r="G35" s="63"/>
      <c r="H35" s="63"/>
      <c r="I35" s="63"/>
      <c r="J35" s="63"/>
      <c r="K35" s="63"/>
      <c r="L35" s="63"/>
      <c r="M35" s="63"/>
      <c r="N35" s="63"/>
      <c r="O35" s="63"/>
      <c r="P35" s="63"/>
      <c r="Q35" s="37"/>
    </row>
    <row r="36" ht="15.75" customHeight="1" spans="2:17" x14ac:dyDescent="0.25">
      <c r="B36" s="54" t="s">
        <v>97</v>
      </c>
      <c r="C36" s="55" t="s">
        <v>98</v>
      </c>
      <c r="D36" s="30">
        <v>3</v>
      </c>
      <c r="E36" s="32"/>
      <c r="F36" s="30"/>
      <c r="G36" s="32"/>
      <c r="H36" s="32"/>
      <c r="I36" s="30"/>
      <c r="J36" s="32"/>
      <c r="K36" s="32"/>
      <c r="L36" s="30"/>
      <c r="M36" s="32"/>
      <c r="N36" s="32"/>
      <c r="O36" s="30"/>
      <c r="P36" s="32"/>
      <c r="Q36" s="39" t="s">
        <v>61</v>
      </c>
    </row>
    <row r="37" ht="15.75" customHeight="1" spans="2:17" x14ac:dyDescent="0.25">
      <c r="B37" s="54" t="s">
        <v>86</v>
      </c>
      <c r="C37" s="55" t="s">
        <v>87</v>
      </c>
      <c r="D37" s="30">
        <v>3</v>
      </c>
      <c r="E37" s="32"/>
      <c r="F37" s="32"/>
      <c r="G37" s="30"/>
      <c r="H37" s="32"/>
      <c r="I37" s="32"/>
      <c r="J37" s="30"/>
      <c r="K37" s="32"/>
      <c r="L37" s="32"/>
      <c r="M37" s="30"/>
      <c r="N37" s="32"/>
      <c r="O37" s="32"/>
      <c r="P37" s="30"/>
      <c r="Q37" s="39" t="s">
        <v>88</v>
      </c>
    </row>
    <row r="38" ht="15.75" customHeight="1" spans="2:17" x14ac:dyDescent="0.25">
      <c r="B38" s="54" t="s">
        <v>99</v>
      </c>
      <c r="C38" s="55" t="s">
        <v>100</v>
      </c>
      <c r="D38" s="30">
        <v>3</v>
      </c>
      <c r="E38" s="32"/>
      <c r="F38" s="32"/>
      <c r="G38" s="30"/>
      <c r="H38" s="32"/>
      <c r="I38" s="32"/>
      <c r="J38" s="30"/>
      <c r="K38" s="32"/>
      <c r="L38" s="32"/>
      <c r="M38" s="30"/>
      <c r="N38" s="32"/>
      <c r="O38" s="32"/>
      <c r="P38" s="30"/>
      <c r="Q38" s="39" t="s">
        <v>88</v>
      </c>
    </row>
    <row r="39" ht="15.75" customHeight="1" spans="2:17" x14ac:dyDescent="0.25">
      <c r="B39" s="64" t="s">
        <v>101</v>
      </c>
      <c r="C39" s="65" t="s">
        <v>102</v>
      </c>
      <c r="D39" s="30">
        <v>3</v>
      </c>
      <c r="E39" s="32">
        <v>3</v>
      </c>
      <c r="F39" s="32"/>
      <c r="G39" s="30"/>
      <c r="H39" s="32"/>
      <c r="I39" s="32"/>
      <c r="J39" s="30"/>
      <c r="K39" s="32"/>
      <c r="L39" s="32"/>
      <c r="M39" s="30"/>
      <c r="N39" s="32"/>
      <c r="O39" s="32"/>
      <c r="P39" s="30"/>
      <c r="Q39" s="39" t="s">
        <v>88</v>
      </c>
    </row>
    <row r="40" ht="15.75" customHeight="1" spans="2:17" x14ac:dyDescent="0.25">
      <c r="B40" s="64" t="s">
        <v>93</v>
      </c>
      <c r="C40" s="57" t="s">
        <v>103</v>
      </c>
      <c r="D40" s="30">
        <v>3</v>
      </c>
      <c r="E40" s="32"/>
      <c r="F40" s="32"/>
      <c r="G40" s="30"/>
      <c r="H40" s="32"/>
      <c r="I40" s="30"/>
      <c r="J40" s="30"/>
      <c r="K40" s="32"/>
      <c r="L40" s="30"/>
      <c r="M40" s="30"/>
      <c r="N40" s="32"/>
      <c r="O40" s="30"/>
      <c r="P40" s="30"/>
      <c r="Q40" s="39" t="s">
        <v>88</v>
      </c>
    </row>
    <row r="41" ht="15.75" customHeight="1" spans="2:17" x14ac:dyDescent="0.25">
      <c r="B41" s="64" t="s">
        <v>104</v>
      </c>
      <c r="C41" s="57" t="s">
        <v>105</v>
      </c>
      <c r="D41" s="30">
        <v>1.5</v>
      </c>
      <c r="E41" s="32"/>
      <c r="F41" s="32"/>
      <c r="G41" s="30"/>
      <c r="H41" s="32"/>
      <c r="I41" s="32"/>
      <c r="J41" s="30"/>
      <c r="K41" s="32"/>
      <c r="L41" s="32"/>
      <c r="M41" s="30"/>
      <c r="N41" s="32"/>
      <c r="O41" s="32"/>
      <c r="P41" s="30"/>
      <c r="Q41" s="39" t="s">
        <v>88</v>
      </c>
    </row>
    <row r="42" ht="15.75" customHeight="1" spans="2:17" x14ac:dyDescent="0.25">
      <c r="B42" s="64" t="s">
        <v>106</v>
      </c>
      <c r="C42" s="57" t="s">
        <v>107</v>
      </c>
      <c r="D42" s="30">
        <v>3</v>
      </c>
      <c r="E42" s="32">
        <v>3</v>
      </c>
      <c r="F42" s="32"/>
      <c r="G42" s="30"/>
      <c r="H42" s="32"/>
      <c r="I42" s="32"/>
      <c r="J42" s="30"/>
      <c r="K42" s="32"/>
      <c r="L42" s="32"/>
      <c r="M42" s="30"/>
      <c r="N42" s="32"/>
      <c r="O42" s="32"/>
      <c r="P42" s="30"/>
      <c r="Q42" s="39" t="s">
        <v>88</v>
      </c>
    </row>
    <row r="43" ht="15.75" customHeight="1" spans="2:17" x14ac:dyDescent="0.25">
      <c r="B43" s="64" t="s">
        <v>108</v>
      </c>
      <c r="C43" s="57" t="s">
        <v>109</v>
      </c>
      <c r="D43" s="30">
        <v>1.5</v>
      </c>
      <c r="E43" s="32"/>
      <c r="F43" s="30"/>
      <c r="G43" s="32"/>
      <c r="H43" s="32"/>
      <c r="I43" s="30"/>
      <c r="J43" s="32"/>
      <c r="K43" s="32"/>
      <c r="L43" s="30"/>
      <c r="M43" s="32"/>
      <c r="N43" s="32"/>
      <c r="O43" s="30"/>
      <c r="P43" s="32"/>
      <c r="Q43" s="39" t="s">
        <v>61</v>
      </c>
    </row>
    <row r="44" ht="15.75" customHeight="1" spans="2:17" x14ac:dyDescent="0.25">
      <c r="B44" s="64" t="s">
        <v>110</v>
      </c>
      <c r="C44" s="57" t="s">
        <v>111</v>
      </c>
      <c r="D44" s="30">
        <v>3</v>
      </c>
      <c r="E44" s="32"/>
      <c r="F44" s="32"/>
      <c r="H44" s="32"/>
      <c r="I44" s="32"/>
      <c r="K44" s="32"/>
      <c r="L44" s="32"/>
      <c r="N44" s="32"/>
      <c r="O44" s="32"/>
      <c r="Q44" s="39" t="s">
        <v>61</v>
      </c>
    </row>
    <row r="45" ht="15.75" customHeight="1" spans="2:17" x14ac:dyDescent="0.25">
      <c r="B45" s="54" t="s">
        <v>112</v>
      </c>
      <c r="C45" s="54" t="s">
        <v>113</v>
      </c>
      <c r="D45" s="30">
        <v>3</v>
      </c>
      <c r="E45" s="32"/>
      <c r="F45" s="30"/>
      <c r="G45" s="30"/>
      <c r="H45" s="32"/>
      <c r="I45" s="30"/>
      <c r="J45" s="30"/>
      <c r="K45" s="32"/>
      <c r="L45" s="30"/>
      <c r="M45" s="30"/>
      <c r="N45" s="32"/>
      <c r="O45" s="30"/>
      <c r="P45" s="30"/>
      <c r="Q45" s="39" t="s">
        <v>81</v>
      </c>
    </row>
    <row r="46" ht="15.75" customHeight="1" spans="2:17" x14ac:dyDescent="0.25">
      <c r="B46" s="54" t="s">
        <v>114</v>
      </c>
      <c r="C46" s="55" t="s">
        <v>115</v>
      </c>
      <c r="D46" s="30">
        <v>2</v>
      </c>
      <c r="E46" s="32"/>
      <c r="F46" s="32"/>
      <c r="G46" s="30"/>
      <c r="H46" s="32"/>
      <c r="I46" s="32"/>
      <c r="J46" s="30"/>
      <c r="K46" s="32"/>
      <c r="L46" s="32"/>
      <c r="M46" s="30"/>
      <c r="N46" s="32"/>
      <c r="O46" s="32"/>
      <c r="P46" s="30"/>
      <c r="Q46" s="39" t="s">
        <v>88</v>
      </c>
    </row>
    <row r="47" ht="15.75" customHeight="1" spans="2:17" x14ac:dyDescent="0.25">
      <c r="B47" s="40" t="s">
        <v>116</v>
      </c>
      <c r="C47" s="66" t="s">
        <v>117</v>
      </c>
      <c r="D47" s="67">
        <v>3</v>
      </c>
      <c r="E47" s="68"/>
      <c r="F47" s="67"/>
      <c r="G47" s="68"/>
      <c r="H47" s="68"/>
      <c r="I47" s="67"/>
      <c r="J47" s="68"/>
      <c r="K47" s="68"/>
      <c r="L47" s="67"/>
      <c r="M47" s="67"/>
      <c r="N47" s="68"/>
      <c r="O47" s="67"/>
      <c r="P47" s="67"/>
      <c r="Q47" s="41" t="s">
        <v>61</v>
      </c>
    </row>
    <row r="48" ht="15.75" customHeight="1" spans="2:17" x14ac:dyDescent="0.25">
      <c r="B48" s="69"/>
      <c r="C48" s="65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69"/>
    </row>
    <row r="49" ht="15.75" customHeight="1" spans="2:19" x14ac:dyDescent="0.25">
      <c r="B49" s="71"/>
      <c r="C49" s="8"/>
      <c r="D49" s="60"/>
      <c r="E49" s="49">
        <f>SUM(E36:P48)</f>
        <v>0</v>
      </c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37"/>
      <c r="S49" s="1" t="str">
        <f>IF(E49&lt;6,"6 or more credit hours expected","okay")</f>
        <v>6 or more credit hours expected</v>
      </c>
    </row>
    <row r="50" ht="15.75" customHeight="1" spans="2:17" x14ac:dyDescent="0.25">
      <c r="B50" s="8"/>
      <c r="C50" s="72" t="s">
        <v>118</v>
      </c>
      <c r="D50" s="73"/>
      <c r="E50" s="73">
        <f t="shared" ref="E50:P50" si="1">SUM(E36:E47,E29:E32,E13:E24)</f>
        <v>0</v>
      </c>
      <c r="F50" s="73">
        <f t="shared" si="1"/>
        <v>0</v>
      </c>
      <c r="G50" s="73">
        <f t="shared" si="1"/>
        <v>0</v>
      </c>
      <c r="H50" s="73">
        <f t="shared" si="1"/>
        <v>0</v>
      </c>
      <c r="I50" s="73">
        <f t="shared" si="1"/>
        <v>0</v>
      </c>
      <c r="J50" s="73">
        <f t="shared" si="1"/>
        <v>0</v>
      </c>
      <c r="K50" s="73">
        <f t="shared" si="1"/>
        <v>0</v>
      </c>
      <c r="L50" s="73">
        <f t="shared" si="1"/>
        <v>0</v>
      </c>
      <c r="M50" s="73">
        <f t="shared" si="1"/>
        <v>0</v>
      </c>
      <c r="N50" s="73">
        <f t="shared" si="1"/>
        <v>0</v>
      </c>
      <c r="O50" s="73">
        <f t="shared" si="1"/>
        <v>0</v>
      </c>
      <c r="P50" s="73">
        <f t="shared" si="1"/>
        <v>0</v>
      </c>
      <c r="Q50" s="8"/>
    </row>
    <row r="51" ht="15.75" customHeight="1" spans="2:17" x14ac:dyDescent="0.25">
      <c r="B51" s="8"/>
      <c r="C51" s="74"/>
      <c r="D51" s="63"/>
      <c r="E51" s="63"/>
      <c r="F51" s="63"/>
      <c r="G51" s="63"/>
      <c r="H51" s="63"/>
      <c r="I51" s="63"/>
      <c r="J51" s="63"/>
      <c r="K51" s="63"/>
      <c r="L51" s="63"/>
      <c r="M51" s="63"/>
      <c r="N51" s="63"/>
      <c r="O51" s="63"/>
      <c r="P51" s="63"/>
      <c r="Q51" s="8"/>
    </row>
    <row r="52" ht="15.75" customHeight="1" spans="3:19" x14ac:dyDescent="0.25">
      <c r="C52" s="75" t="s">
        <v>119</v>
      </c>
      <c r="D52" s="76"/>
      <c r="H52" s="77">
        <f>+E25+E33+E49</f>
        <v>0</v>
      </c>
      <c r="I52" s="78"/>
      <c r="J52" s="79"/>
      <c r="S52" s="80" t="str">
        <f>IF(H52&lt;30,"30 or more credit hours required","okay")</f>
        <v>30 or more credit hours required</v>
      </c>
    </row>
    <row r="53" ht="15.75" customHeight="1" spans="3:3" x14ac:dyDescent="0.25">
      <c r="C53" s="81"/>
    </row>
    <row r="54" spans="2:8" x14ac:dyDescent="0.25">
      <c r="B54" s="82"/>
      <c r="C54" s="83"/>
      <c r="D54" s="83"/>
      <c r="E54" s="83"/>
      <c r="F54" s="83"/>
      <c r="G54" s="83"/>
      <c r="H54" s="83"/>
    </row>
    <row r="55" ht="15.75" customHeight="1" spans="2:8" x14ac:dyDescent="0.25">
      <c r="B55" s="82"/>
      <c r="C55" s="83"/>
      <c r="D55" s="83"/>
      <c r="E55" s="83"/>
      <c r="F55" s="83"/>
      <c r="G55" s="83"/>
      <c r="H55" s="83"/>
    </row>
    <row r="56" ht="15.75" customHeight="1" spans="3:3" x14ac:dyDescent="0.25">
      <c r="C56" t="s">
        <v>120</v>
      </c>
    </row>
    <row r="57" ht="15.75" customHeight="1" x14ac:dyDescent="0.25"/>
    <row r="58" ht="15.75" customHeight="1" x14ac:dyDescent="0.25"/>
    <row r="59" ht="15.75" customHeight="1" spans="2:8" x14ac:dyDescent="0.25">
      <c r="B59" s="82"/>
      <c r="C59" s="83"/>
      <c r="D59" s="83"/>
      <c r="E59" s="83"/>
      <c r="F59" s="83"/>
      <c r="G59" s="83"/>
      <c r="H59" s="83"/>
    </row>
    <row r="60" ht="15.75" customHeight="1" x14ac:dyDescent="0.25"/>
  </sheetData>
  <mergeCells count="20">
    <mergeCell ref="B2:Q2"/>
    <mergeCell ref="B3:Q3"/>
    <mergeCell ref="E4:F4"/>
    <mergeCell ref="G4:H4"/>
    <mergeCell ref="E5:F5"/>
    <mergeCell ref="G5:H5"/>
    <mergeCell ref="E6:F6"/>
    <mergeCell ref="G6:H6"/>
    <mergeCell ref="B11:C11"/>
    <mergeCell ref="B12:C12"/>
    <mergeCell ref="E25:P25"/>
    <mergeCell ref="B26:C26"/>
    <mergeCell ref="E33:P33"/>
    <mergeCell ref="N34:P34"/>
    <mergeCell ref="E49:P49"/>
    <mergeCell ref="C52:D52"/>
    <mergeCell ref="H52:J52"/>
    <mergeCell ref="B54:H54"/>
    <mergeCell ref="B55:H55"/>
    <mergeCell ref="B59:H59"/>
  </mergeCells>
  <dataValidations count="2">
    <dataValidation type="list" allowBlank="1" showInputMessage="1" showErrorMessage="1" sqref="G4:H5">
      <formula1>$Y$3:$Y$17</formula1>
    </dataValidation>
    <dataValidation type="list" allowBlank="1" showInputMessage="1" showErrorMessage="1" sqref="G6:H6">
      <formula1>$Z$3:$Z$5</formula1>
    </dataValidation>
  </dataValidations>
  <hyperlinks>
    <hyperlink ref="B10" r:id="rId1"/>
  </hyperlinks>
  <pageMargins left="0.7" right="0.7" top="0.75" bottom="0.75" header="0.3" footer="0.3"/>
  <pageSetup orientation="landscape" horizontalDpi="4294967295" verticalDpi="4294967295" scale="52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Celia</dc:creator>
  <dc:title/>
  <dc:subject/>
  <dc:description/>
  <cp:keywords/>
  <cp:category/>
  <cp:lastModifiedBy>Adam Rayyan Moffat</cp:lastModifiedBy>
  <cp:contentStatus/>
  <dcterms:created xsi:type="dcterms:W3CDTF">2022-09-11T12:21:10Z</dcterms:created>
  <dcterms:modified xsi:type="dcterms:W3CDTF">2026-06-18T23:19:50Z</dcterms:modified>
</cp:coreProperties>
</file>