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8_{86F784E6-226A-364D-8B9D-E1AD4BFA7FF2}" xr6:coauthVersionLast="47" xr6:coauthVersionMax="47" xr10:uidLastSave="{00000000-0000-0000-0000-000000000000}"/>
  <bookViews>
    <workbookView xWindow="0" yWindow="740" windowWidth="30240" windowHeight="18900" xr2:uid="{02C02C5A-B205-46CA-9195-E3CD2F16FF24}"/>
  </bookViews>
  <sheets>
    <sheet name="Sheet1" sheetId="1" r:id="rId1"/>
  </sheets>
  <definedNames>
    <definedName name="TERMS">Sheet1!$Y$3:$Y$9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23" i="1"/>
  <c r="E31" i="1"/>
  <c r="E48" i="1"/>
  <c r="F48" i="1"/>
  <c r="H48" i="1"/>
  <c r="I48" i="1"/>
  <c r="J48" i="1"/>
  <c r="K48" i="1"/>
  <c r="L48" i="1"/>
  <c r="M48" i="1"/>
  <c r="N48" i="1"/>
  <c r="O48" i="1"/>
  <c r="P48" i="1"/>
  <c r="G48" i="1"/>
  <c r="S14" i="1"/>
  <c r="S15" i="1"/>
  <c r="S16" i="1"/>
  <c r="S17" i="1"/>
  <c r="S18" i="1"/>
  <c r="S19" i="1"/>
  <c r="S20" i="1"/>
  <c r="S21" i="1"/>
  <c r="S22" i="1"/>
  <c r="S13" i="1"/>
  <c r="H50" i="1" l="1"/>
  <c r="S9" i="1"/>
  <c r="S47" i="1"/>
  <c r="S31" i="1" l="1"/>
  <c r="S23" i="1" l="1"/>
  <c r="S8" i="1"/>
  <c r="S7" i="1"/>
  <c r="S50" i="1" l="1"/>
  <c r="S6" i="1" l="1"/>
  <c r="S5" i="1"/>
  <c r="S4" i="1"/>
</calcChain>
</file>

<file path=xl/sharedStrings.xml><?xml version="1.0" encoding="utf-8"?>
<sst xmlns="http://schemas.openxmlformats.org/spreadsheetml/2006/main" count="138" uniqueCount="113">
  <si>
    <t>Picklist</t>
  </si>
  <si>
    <t xml:space="preserve">   M.Eng. Distance Learning Proposal Form – Engineering Management</t>
  </si>
  <si>
    <t>Form Checks:</t>
  </si>
  <si>
    <t>semesters</t>
  </si>
  <si>
    <t>advisors</t>
  </si>
  <si>
    <t>FA23</t>
  </si>
  <si>
    <t>Andrea Ippolito</t>
  </si>
  <si>
    <t>Name</t>
  </si>
  <si>
    <t>Starting</t>
  </si>
  <si>
    <t>SP24</t>
  </si>
  <si>
    <t>Robert Newman</t>
  </si>
  <si>
    <t>Student ID#</t>
  </si>
  <si>
    <t>Graduating</t>
  </si>
  <si>
    <t>SU24</t>
  </si>
  <si>
    <t>Dirk Swart</t>
  </si>
  <si>
    <t>NetID #</t>
  </si>
  <si>
    <t>Advisor</t>
  </si>
  <si>
    <t>FA24</t>
  </si>
  <si>
    <t>SP25</t>
  </si>
  <si>
    <t>This proposal form should be reviewed and approved by your advisor and submitted/uploaded to Smartsheet via the link below no later than</t>
  </si>
  <si>
    <t>SU25</t>
  </si>
  <si>
    <t xml:space="preserve">the end of the third week of classes each semester. You also must submit a revised proposal form for approval anytime a change is proposed. </t>
  </si>
  <si>
    <t>FA25</t>
  </si>
  <si>
    <t>UPLOAD PROPOSAL FORM HERE</t>
  </si>
  <si>
    <t>SP26</t>
  </si>
  <si>
    <r>
      <t xml:space="preserve">    Credits by Semester </t>
    </r>
    <r>
      <rPr>
        <b/>
        <i/>
        <sz val="10"/>
        <color theme="0" tint="-0.499984740745262"/>
        <rFont val="Calibri"/>
        <family val="2"/>
      </rPr>
      <t>(unhide Columns K-P to expand)</t>
    </r>
  </si>
  <si>
    <t>SU26</t>
  </si>
  <si>
    <t xml:space="preserve">Required Courses </t>
  </si>
  <si>
    <t>Credits</t>
  </si>
  <si>
    <t>SU1</t>
  </si>
  <si>
    <t>FA1</t>
  </si>
  <si>
    <t>SP1</t>
  </si>
  <si>
    <t>SU2</t>
  </si>
  <si>
    <t>FA2</t>
  </si>
  <si>
    <t>SP2</t>
  </si>
  <si>
    <t>SU3</t>
  </si>
  <si>
    <t>FA3</t>
  </si>
  <si>
    <t>SP3</t>
  </si>
  <si>
    <t>SU4</t>
  </si>
  <si>
    <t>FA4</t>
  </si>
  <si>
    <t>SP4</t>
  </si>
  <si>
    <t>Comments</t>
  </si>
  <si>
    <t>FA26</t>
  </si>
  <si>
    <t>ENMGT 5080</t>
  </si>
  <si>
    <t>Introduction to Python Basics</t>
  </si>
  <si>
    <t>Summer only</t>
  </si>
  <si>
    <t>SP27</t>
  </si>
  <si>
    <t>ENMGT 5900</t>
  </si>
  <si>
    <t xml:space="preserve">Project Management </t>
  </si>
  <si>
    <t xml:space="preserve">Fall and Spring </t>
  </si>
  <si>
    <t>SU27</t>
  </si>
  <si>
    <t>ENMGT 5910</t>
  </si>
  <si>
    <t>Engineering Management Project *</t>
  </si>
  <si>
    <t>Fall and Spring *</t>
  </si>
  <si>
    <t>FA27</t>
  </si>
  <si>
    <t>ENMGT 5930</t>
  </si>
  <si>
    <t>Data Analytics</t>
  </si>
  <si>
    <t>Fall only</t>
  </si>
  <si>
    <t>SP28</t>
  </si>
  <si>
    <t>ENMGT 5940</t>
  </si>
  <si>
    <t xml:space="preserve">Economics and Finance for Engineering Management </t>
  </si>
  <si>
    <t>Spring only</t>
  </si>
  <si>
    <t>SU28</t>
  </si>
  <si>
    <t xml:space="preserve">ENMGT 5980 </t>
  </si>
  <si>
    <t>Decision Framing and Analytics</t>
  </si>
  <si>
    <t xml:space="preserve">Fall only </t>
  </si>
  <si>
    <t>ENMGT 6001</t>
  </si>
  <si>
    <t>Residential Session I</t>
  </si>
  <si>
    <t>Summer</t>
  </si>
  <si>
    <t>ENMGT 6002</t>
  </si>
  <si>
    <t>Residential Session II</t>
  </si>
  <si>
    <t xml:space="preserve">ENMGT 6012 </t>
  </si>
  <si>
    <t>Professional Development Workshop for Engineering Managers</t>
  </si>
  <si>
    <t>Fall and Spring</t>
  </si>
  <si>
    <t>ENMGT 6011</t>
  </si>
  <si>
    <t>* Prerequisites ENMGT 5900, ENMGT 5930, ENMGT 5940, and ENMGT 5980.</t>
  </si>
  <si>
    <t>** Students can choose to attend Residential Session II or take two 0.5 Professional Development Workshops</t>
  </si>
  <si>
    <t xml:space="preserve">Organizational Behavior (choose one of these four - 3 credits required) </t>
  </si>
  <si>
    <t>ENMGT 5300</t>
  </si>
  <si>
    <t>Technology Strategy and Roadmapping</t>
  </si>
  <si>
    <t>ENMGT 5960</t>
  </si>
  <si>
    <t>Negotiations and Contracts for Engineering Management</t>
  </si>
  <si>
    <t>ENMGT 6020</t>
  </si>
  <si>
    <t>Managing a Culture of Innovation</t>
  </si>
  <si>
    <t>ENMGT 6030</t>
  </si>
  <si>
    <t>Learning To Lead</t>
  </si>
  <si>
    <t>Spring Only</t>
  </si>
  <si>
    <t xml:space="preserve">Specialization Electives (at least two courses required) </t>
  </si>
  <si>
    <t>ENMGT 5200</t>
  </si>
  <si>
    <t>Economics of the Energy Transition</t>
  </si>
  <si>
    <t>ENMGT 5500</t>
  </si>
  <si>
    <t>Digital Marketing for Engineering Managers</t>
  </si>
  <si>
    <t>ENMGT 5920</t>
  </si>
  <si>
    <t xml:space="preserve">Product Management </t>
  </si>
  <si>
    <t>Learning to Lead</t>
  </si>
  <si>
    <t>ENMGT 6095 (IND 603)</t>
  </si>
  <si>
    <t xml:space="preserve">AI Value Generation for Engineering Management </t>
  </si>
  <si>
    <t>ENMGT 5400</t>
  </si>
  <si>
    <t xml:space="preserve">Applications of AI for Engineering Management </t>
  </si>
  <si>
    <t>ENMGT 6092</t>
  </si>
  <si>
    <t>Overcoming Gender Bias in Engineering Management Leadership</t>
  </si>
  <si>
    <t>CEE 6800</t>
  </si>
  <si>
    <t>Engineering Smart Cities</t>
  </si>
  <si>
    <t>NBA 5070</t>
  </si>
  <si>
    <t xml:space="preserve">Entrepreneurship for Scientists and Engineers </t>
  </si>
  <si>
    <t>SYSEN 5740</t>
  </si>
  <si>
    <t>Design Thinking for Complex Systems</t>
  </si>
  <si>
    <t>CEE 6055</t>
  </si>
  <si>
    <t>Special Topics: Renewable Energy Systems</t>
  </si>
  <si>
    <t>Credits by Semester</t>
  </si>
  <si>
    <r>
      <t xml:space="preserve">Total Program Credits for </t>
    </r>
    <r>
      <rPr>
        <b/>
        <u/>
        <sz val="11"/>
        <rFont val="Calibri"/>
        <family val="2"/>
      </rPr>
      <t>all</t>
    </r>
    <r>
      <rPr>
        <b/>
        <sz val="11"/>
        <color rgb="FF000000"/>
        <rFont val="Calibri"/>
        <family val="2"/>
      </rPr>
      <t xml:space="preserve"> Semesters ≥ 30</t>
    </r>
  </si>
  <si>
    <t>Adam Moffat</t>
  </si>
  <si>
    <t>Arm393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</si>
</sst>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0" tint="-0.499984740745262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2"/>
      <color theme="0" tint="-0.499984740745262"/>
      <name val="Calibri"/>
      <family val="2"/>
    </font>
    <font>
      <i/>
      <sz val="11"/>
      <color theme="0" tint="-0.49998474074526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</font>
    <font>
      <b/>
      <u/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i/>
      <sz val="12"/>
      <color theme="0" tint="-0.34998626667073579"/>
      <name val="Calibri"/>
      <family val="2"/>
    </font>
    <font>
      <i/>
      <sz val="9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0"/>
      <color theme="0" tint="-0.499984740745262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i/>
      <sz val="12"/>
      <color theme="0" tint="-0.499984740745262"/>
      <name val="Calibri"/>
      <family val="2"/>
    </font>
    <font>
      <sz val="12"/>
      <color theme="2" tint="-0.499984740745262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9">
    <xf numFmtId="0" fontId="0" fillId="0" borderId="0" xfId="0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 indent="1"/>
    </xf>
    <xf numFmtId="0" fontId="8" fillId="0" borderId="0" xfId="0" applyFont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15" fillId="0" borderId="0" xfId="0" applyFont="1" applyAlignment="1">
      <alignment horizontal="right" vertical="center" wrapText="1"/>
    </xf>
    <xf numFmtId="0" fontId="16" fillId="0" borderId="0" xfId="0" applyFont="1"/>
    <xf numFmtId="0" fontId="16" fillId="2" borderId="0" xfId="0" applyFont="1" applyFill="1"/>
    <xf numFmtId="0" fontId="5" fillId="0" borderId="18" xfId="0" applyFont="1" applyBorder="1" applyAlignment="1">
      <alignment vertical="center"/>
    </xf>
    <xf numFmtId="0" fontId="3" fillId="0" borderId="18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vertical="center" wrapText="1"/>
    </xf>
    <xf numFmtId="0" fontId="17" fillId="3" borderId="1" xfId="0" applyFont="1" applyFill="1" applyBorder="1"/>
    <xf numFmtId="0" fontId="17" fillId="0" borderId="1" xfId="0" applyFont="1" applyBorder="1" applyAlignment="1">
      <alignment vertical="center" wrapText="1"/>
    </xf>
    <xf numFmtId="0" fontId="17" fillId="0" borderId="1" xfId="0" applyFont="1" applyBorder="1"/>
    <xf numFmtId="0" fontId="11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20" xfId="0" applyFont="1" applyBorder="1" applyAlignment="1">
      <alignment vertical="center" wrapText="1"/>
    </xf>
    <xf numFmtId="0" fontId="0" fillId="0" borderId="0" xfId="0" applyAlignment="1">
      <alignment horizontal="left" indent="1"/>
    </xf>
    <xf numFmtId="0" fontId="21" fillId="0" borderId="0" xfId="0" applyFont="1"/>
    <xf numFmtId="0" fontId="22" fillId="0" borderId="0" xfId="1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7" fillId="0" borderId="0" xfId="0" applyFont="1"/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vertical="center" wrapText="1"/>
    </xf>
    <xf numFmtId="0" fontId="23" fillId="0" borderId="24" xfId="0" applyFont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23" fillId="0" borderId="21" xfId="0" applyFont="1" applyBorder="1" applyAlignment="1">
      <alignment vertical="center"/>
    </xf>
    <xf numFmtId="0" fontId="0" fillId="0" borderId="13" xfId="0" applyBorder="1"/>
    <xf numFmtId="0" fontId="7" fillId="0" borderId="0" xfId="0" applyFont="1" applyAlignment="1">
      <alignment horizontal="left" vertical="center" wrapText="1"/>
    </xf>
    <xf numFmtId="0" fontId="4" fillId="0" borderId="16" xfId="0" applyFont="1" applyBorder="1"/>
    <xf numFmtId="0" fontId="7" fillId="0" borderId="1" xfId="0" applyFont="1" applyBorder="1"/>
    <xf numFmtId="0" fontId="7" fillId="0" borderId="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vertical="center"/>
    </xf>
    <xf numFmtId="0" fontId="7" fillId="3" borderId="10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0" fontId="25" fillId="3" borderId="6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indent="12"/>
    </xf>
    <xf numFmtId="0" fontId="9" fillId="0" borderId="0" xfId="0" applyFont="1" applyAlignment="1">
      <alignment vertical="center"/>
    </xf>
    <xf numFmtId="0" fontId="18" fillId="0" borderId="0" xfId="0" applyFont="1"/>
    <xf numFmtId="0" fontId="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6" fillId="0" borderId="15" xfId="0" applyFont="1" applyBorder="1"/>
    <xf numFmtId="0" fontId="6" fillId="0" borderId="6" xfId="0" applyFont="1" applyBorder="1"/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2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5" xfId="0" applyFont="1" applyBorder="1"/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.smartsheet.com/b/form/4a6b141118004b989ee0a390620f88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9959-C988-496D-BAC3-68EF65DFC033}">
  <sheetPr>
    <pageSetUpPr fitToPage="1"/>
  </sheetPr>
  <dimension ref="B1:Z58"/>
  <sheetViews>
    <sheetView tabSelected="1" topLeftCell="A7" zoomScale="89" zoomScaleNormal="85" workbookViewId="0">
      <selection activeCell="K40" sqref="K40"/>
    </sheetView>
  </sheetViews>
  <sheetFormatPr baseColWidth="10" defaultColWidth="8.83203125" defaultRowHeight="15" x14ac:dyDescent="0.2"/>
  <cols>
    <col min="1" max="1" width="4" customWidth="1"/>
    <col min="2" max="2" width="35.5" customWidth="1"/>
    <col min="3" max="3" width="62.1640625" bestFit="1" customWidth="1"/>
    <col min="4" max="9" width="8.33203125" customWidth="1"/>
    <col min="10" max="10" width="7.6640625" customWidth="1"/>
    <col min="11" max="16" width="8.33203125" customWidth="1"/>
    <col min="17" max="17" width="22.6640625" customWidth="1"/>
    <col min="18" max="18" width="3.6640625" customWidth="1"/>
    <col min="19" max="19" width="34.5" style="21" customWidth="1"/>
    <col min="20" max="24" width="9.1640625" hidden="1" customWidth="1"/>
    <col min="25" max="25" width="12.5" hidden="1" customWidth="1"/>
    <col min="26" max="26" width="15.5" hidden="1" customWidth="1"/>
  </cols>
  <sheetData>
    <row r="1" spans="2:26" ht="12" customHeight="1" x14ac:dyDescent="0.2">
      <c r="Y1" t="s">
        <v>0</v>
      </c>
      <c r="Z1" t="s">
        <v>0</v>
      </c>
    </row>
    <row r="2" spans="2:26" ht="26.25" customHeight="1" x14ac:dyDescent="0.2">
      <c r="B2" s="80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S2" s="21" t="s">
        <v>2</v>
      </c>
      <c r="Y2" s="40" t="s">
        <v>3</v>
      </c>
      <c r="Z2" s="40" t="s">
        <v>4</v>
      </c>
    </row>
    <row r="3" spans="2:26" ht="12" customHeight="1" x14ac:dyDescent="0.2">
      <c r="B3" s="82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Y3" t="s">
        <v>5</v>
      </c>
      <c r="Z3" t="s">
        <v>6</v>
      </c>
    </row>
    <row r="4" spans="2:26" ht="15.75" customHeight="1" x14ac:dyDescent="0.2">
      <c r="B4" s="1" t="s">
        <v>7</v>
      </c>
      <c r="C4" s="35" t="s">
        <v>111</v>
      </c>
      <c r="D4" s="12"/>
      <c r="E4" s="87" t="s">
        <v>8</v>
      </c>
      <c r="F4" s="87"/>
      <c r="G4" s="88" t="s">
        <v>24</v>
      </c>
      <c r="H4" s="88"/>
      <c r="I4" s="12"/>
      <c r="J4" s="12"/>
      <c r="K4" s="12"/>
      <c r="L4" s="12"/>
      <c r="M4" s="12"/>
      <c r="N4" s="12"/>
      <c r="O4" s="12"/>
      <c r="P4" s="12"/>
      <c r="Q4" s="12"/>
      <c r="S4" s="21" t="str">
        <f>IF(ISBLANK(C4),"Error, Name Missing","okay")</f>
        <v>okay</v>
      </c>
      <c r="Y4" t="s">
        <v>9</v>
      </c>
      <c r="Z4" t="s">
        <v>10</v>
      </c>
    </row>
    <row r="5" spans="2:26" ht="15.75" customHeight="1" x14ac:dyDescent="0.2">
      <c r="B5" s="1" t="s">
        <v>11</v>
      </c>
      <c r="C5" s="35"/>
      <c r="D5" s="12"/>
      <c r="E5" s="87" t="s">
        <v>12</v>
      </c>
      <c r="F5" s="87"/>
      <c r="G5" s="88" t="s">
        <v>58</v>
      </c>
      <c r="H5" s="88"/>
      <c r="I5" s="12"/>
      <c r="J5" s="12"/>
      <c r="K5" s="12"/>
      <c r="L5" s="12"/>
      <c r="M5" s="12"/>
      <c r="N5" s="12"/>
      <c r="O5" s="12"/>
      <c r="P5" s="12"/>
      <c r="Q5" s="12"/>
      <c r="S5" s="21" t="str">
        <f>IF(ISBLANK(C5),"Error, Student ID# Missing","okay")</f>
        <v>Error, Student ID# Missing</v>
      </c>
      <c r="Y5" t="s">
        <v>13</v>
      </c>
      <c r="Z5" t="s">
        <v>14</v>
      </c>
    </row>
    <row r="6" spans="2:26" ht="15.75" customHeight="1" x14ac:dyDescent="0.2">
      <c r="B6" s="1" t="s">
        <v>15</v>
      </c>
      <c r="C6" s="35" t="s">
        <v>112</v>
      </c>
      <c r="D6" s="12"/>
      <c r="E6" s="87" t="s">
        <v>16</v>
      </c>
      <c r="F6" s="87"/>
      <c r="G6" s="88" t="s">
        <v>10</v>
      </c>
      <c r="H6" s="88"/>
      <c r="I6" s="12"/>
      <c r="J6" s="12"/>
      <c r="K6" s="12"/>
      <c r="L6" s="12"/>
      <c r="M6" s="12"/>
      <c r="N6" s="12"/>
      <c r="O6" s="12"/>
      <c r="P6" s="12"/>
      <c r="Q6" s="12"/>
      <c r="S6" s="21" t="str">
        <f>IF(ISBLANK(C6),"Error, NetID# Missing","okay")</f>
        <v>okay</v>
      </c>
      <c r="Y6" t="s">
        <v>17</v>
      </c>
    </row>
    <row r="7" spans="2:26" ht="15.75" customHeight="1" x14ac:dyDescent="0.2">
      <c r="B7" s="2"/>
      <c r="C7" s="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S7" s="21" t="str">
        <f>IF(ISBLANK(G4),"Error, Starting Missing","okay")</f>
        <v>okay</v>
      </c>
      <c r="Y7" t="s">
        <v>18</v>
      </c>
    </row>
    <row r="8" spans="2:26" ht="15.75" customHeight="1" x14ac:dyDescent="0.2">
      <c r="B8" s="13" t="s">
        <v>19</v>
      </c>
      <c r="C8" s="6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S8" s="21" t="str">
        <f>IF(ISBLANK(G5),"Error, Graduating Missing","okay")</f>
        <v>okay</v>
      </c>
      <c r="Y8" t="s">
        <v>20</v>
      </c>
    </row>
    <row r="9" spans="2:26" ht="15.75" customHeight="1" x14ac:dyDescent="0.2">
      <c r="B9" s="13" t="s">
        <v>21</v>
      </c>
      <c r="C9" s="6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S9" s="21" t="str">
        <f>IF(ISBLANK(G6),"Error, Advisor name Missing","okay")</f>
        <v>okay</v>
      </c>
      <c r="Y9" t="s">
        <v>22</v>
      </c>
    </row>
    <row r="10" spans="2:26" ht="15.75" customHeight="1" x14ac:dyDescent="0.2">
      <c r="B10" s="41" t="s">
        <v>23</v>
      </c>
      <c r="C10" s="6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Y10" t="s">
        <v>24</v>
      </c>
    </row>
    <row r="11" spans="2:26" ht="15.75" customHeight="1" x14ac:dyDescent="0.2">
      <c r="B11" s="84"/>
      <c r="C11" s="83"/>
      <c r="D11" s="3"/>
      <c r="E11" s="23" t="s">
        <v>25</v>
      </c>
      <c r="F11" s="23"/>
      <c r="G11" s="24"/>
      <c r="H11" s="24"/>
      <c r="I11" s="24"/>
      <c r="J11" s="36"/>
      <c r="K11" s="24"/>
      <c r="L11" s="24"/>
      <c r="M11" s="24"/>
      <c r="N11" s="23"/>
      <c r="O11" s="25"/>
      <c r="P11" s="26"/>
      <c r="Q11" s="12"/>
      <c r="Y11" t="s">
        <v>26</v>
      </c>
    </row>
    <row r="12" spans="2:26" ht="15.75" customHeight="1" x14ac:dyDescent="0.2">
      <c r="B12" s="85" t="s">
        <v>27</v>
      </c>
      <c r="C12" s="86"/>
      <c r="D12" s="4" t="s">
        <v>28</v>
      </c>
      <c r="E12" s="4" t="s">
        <v>31</v>
      </c>
      <c r="F12" s="4" t="s">
        <v>29</v>
      </c>
      <c r="G12" s="4" t="s">
        <v>30</v>
      </c>
      <c r="H12" s="4" t="s">
        <v>34</v>
      </c>
      <c r="I12" s="68" t="s">
        <v>32</v>
      </c>
      <c r="J12" s="27" t="s">
        <v>33</v>
      </c>
      <c r="K12" s="27" t="s">
        <v>37</v>
      </c>
      <c r="L12" s="28" t="s">
        <v>35</v>
      </c>
      <c r="M12" s="28" t="s">
        <v>36</v>
      </c>
      <c r="N12" s="29" t="s">
        <v>40</v>
      </c>
      <c r="O12" s="28" t="s">
        <v>38</v>
      </c>
      <c r="P12" s="28" t="s">
        <v>39</v>
      </c>
      <c r="Q12" s="18" t="s">
        <v>41</v>
      </c>
      <c r="Y12" t="s">
        <v>42</v>
      </c>
    </row>
    <row r="13" spans="2:26" ht="15.75" customHeight="1" x14ac:dyDescent="0.2">
      <c r="B13" s="5" t="s">
        <v>43</v>
      </c>
      <c r="C13" s="6" t="s">
        <v>44</v>
      </c>
      <c r="D13" s="7">
        <v>1</v>
      </c>
      <c r="E13" s="43"/>
      <c r="F13" s="44">
        <v>1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19" t="s">
        <v>45</v>
      </c>
      <c r="S13" s="21" t="str">
        <f>IF(SUM(E13:P13)=D13,"okay","Missing required course or wrong number of credit hours")</f>
        <v>okay</v>
      </c>
      <c r="Y13" t="s">
        <v>46</v>
      </c>
    </row>
    <row r="14" spans="2:26" ht="15.75" customHeight="1" x14ac:dyDescent="0.2">
      <c r="B14" s="5" t="s">
        <v>47</v>
      </c>
      <c r="C14" s="66" t="s">
        <v>48</v>
      </c>
      <c r="D14" s="7">
        <v>4</v>
      </c>
      <c r="E14" s="42">
        <v>0</v>
      </c>
      <c r="F14" s="43"/>
      <c r="G14" s="42">
        <v>0</v>
      </c>
      <c r="H14" s="42">
        <v>4</v>
      </c>
      <c r="I14" s="43"/>
      <c r="J14" s="42"/>
      <c r="K14" s="42"/>
      <c r="L14" s="43"/>
      <c r="M14" s="42"/>
      <c r="N14" s="42"/>
      <c r="O14" s="43"/>
      <c r="P14" s="42"/>
      <c r="Q14" s="19" t="s">
        <v>49</v>
      </c>
      <c r="S14" s="21" t="str">
        <f t="shared" ref="S14:S22" si="0">IF(SUM(E14:P14)=D14,"okay","Missing required course or wrong number of credit hours")</f>
        <v>okay</v>
      </c>
      <c r="Y14" t="s">
        <v>50</v>
      </c>
    </row>
    <row r="15" spans="2:26" ht="15" customHeight="1" x14ac:dyDescent="0.2">
      <c r="B15" s="8" t="s">
        <v>51</v>
      </c>
      <c r="C15" s="63" t="s">
        <v>52</v>
      </c>
      <c r="D15" s="9">
        <v>4</v>
      </c>
      <c r="E15" s="43"/>
      <c r="F15" s="43"/>
      <c r="G15" s="42"/>
      <c r="H15" s="42"/>
      <c r="I15" s="43"/>
      <c r="J15" s="42"/>
      <c r="K15" s="42">
        <v>4</v>
      </c>
      <c r="L15" s="43"/>
      <c r="M15" s="42"/>
      <c r="N15" s="42"/>
      <c r="O15" s="43"/>
      <c r="P15" s="42"/>
      <c r="Q15" s="19" t="s">
        <v>53</v>
      </c>
      <c r="S15" s="21" t="str">
        <f t="shared" si="0"/>
        <v>okay</v>
      </c>
      <c r="Y15" t="s">
        <v>54</v>
      </c>
    </row>
    <row r="16" spans="2:26" ht="17" x14ac:dyDescent="0.2">
      <c r="B16" s="8" t="s">
        <v>55</v>
      </c>
      <c r="C16" s="10" t="s">
        <v>56</v>
      </c>
      <c r="D16" s="7">
        <v>4</v>
      </c>
      <c r="E16" s="43"/>
      <c r="F16" s="43"/>
      <c r="G16" s="42"/>
      <c r="H16" s="43"/>
      <c r="I16" s="43"/>
      <c r="J16" s="7">
        <v>4</v>
      </c>
      <c r="K16" s="43"/>
      <c r="L16" s="43"/>
      <c r="M16" s="7"/>
      <c r="N16" s="43"/>
      <c r="O16" s="43"/>
      <c r="P16" s="7"/>
      <c r="Q16" s="19" t="s">
        <v>57</v>
      </c>
      <c r="S16" s="21" t="str">
        <f t="shared" si="0"/>
        <v>okay</v>
      </c>
      <c r="Y16" t="s">
        <v>58</v>
      </c>
    </row>
    <row r="17" spans="2:25" ht="15.75" customHeight="1" x14ac:dyDescent="0.2">
      <c r="B17" s="8" t="s">
        <v>59</v>
      </c>
      <c r="C17" s="64" t="s">
        <v>60</v>
      </c>
      <c r="D17" s="7">
        <v>4</v>
      </c>
      <c r="E17" s="7">
        <v>4</v>
      </c>
      <c r="F17" s="43"/>
      <c r="G17" s="43"/>
      <c r="H17" s="7"/>
      <c r="I17" s="43"/>
      <c r="J17" s="43"/>
      <c r="K17" s="7"/>
      <c r="L17" s="43"/>
      <c r="M17" s="43"/>
      <c r="N17" s="7"/>
      <c r="O17" s="43"/>
      <c r="P17" s="43"/>
      <c r="Q17" s="19" t="s">
        <v>61</v>
      </c>
      <c r="S17" s="21" t="str">
        <f t="shared" si="0"/>
        <v>okay</v>
      </c>
      <c r="Y17" t="s">
        <v>62</v>
      </c>
    </row>
    <row r="18" spans="2:25" ht="15.75" customHeight="1" x14ac:dyDescent="0.2">
      <c r="B18" s="8" t="s">
        <v>63</v>
      </c>
      <c r="C18" s="53" t="s">
        <v>64</v>
      </c>
      <c r="D18" s="7">
        <v>3</v>
      </c>
      <c r="E18" s="43"/>
      <c r="F18" s="43"/>
      <c r="G18" s="7">
        <v>3</v>
      </c>
      <c r="H18" s="43"/>
      <c r="I18" s="43"/>
      <c r="J18" s="44"/>
      <c r="K18" s="43"/>
      <c r="L18" s="43"/>
      <c r="M18" s="7"/>
      <c r="N18" s="43"/>
      <c r="O18" s="43"/>
      <c r="P18" s="7"/>
      <c r="Q18" s="19" t="s">
        <v>65</v>
      </c>
      <c r="S18" s="21" t="str">
        <f t="shared" si="0"/>
        <v>okay</v>
      </c>
    </row>
    <row r="19" spans="2:25" ht="15.75" customHeight="1" x14ac:dyDescent="0.2">
      <c r="B19" s="8" t="s">
        <v>66</v>
      </c>
      <c r="C19" s="10" t="s">
        <v>67</v>
      </c>
      <c r="D19" s="7">
        <v>1</v>
      </c>
      <c r="E19" s="43"/>
      <c r="F19" s="7">
        <v>1</v>
      </c>
      <c r="G19" s="43"/>
      <c r="H19" s="43"/>
      <c r="I19" s="43"/>
      <c r="J19" s="43"/>
      <c r="K19" s="43"/>
      <c r="L19" s="7"/>
      <c r="M19" s="43"/>
      <c r="N19" s="43"/>
      <c r="O19" s="7"/>
      <c r="P19" s="43"/>
      <c r="Q19" s="19" t="s">
        <v>68</v>
      </c>
      <c r="S19" s="21" t="str">
        <f t="shared" si="0"/>
        <v>okay</v>
      </c>
    </row>
    <row r="20" spans="2:25" ht="15.75" customHeight="1" x14ac:dyDescent="0.2">
      <c r="B20" s="8" t="s">
        <v>69</v>
      </c>
      <c r="C20" s="10" t="s">
        <v>70</v>
      </c>
      <c r="D20" s="7">
        <v>1</v>
      </c>
      <c r="E20" s="43"/>
      <c r="F20" s="7"/>
      <c r="G20" s="43"/>
      <c r="H20" s="43"/>
      <c r="I20" s="44">
        <v>1</v>
      </c>
      <c r="J20" s="43"/>
      <c r="K20" s="43"/>
      <c r="L20" s="7"/>
      <c r="M20" s="43"/>
      <c r="N20" s="43"/>
      <c r="O20" s="7"/>
      <c r="P20" s="43"/>
      <c r="Q20" s="19" t="s">
        <v>68</v>
      </c>
      <c r="S20" s="21" t="str">
        <f t="shared" si="0"/>
        <v>okay</v>
      </c>
    </row>
    <row r="21" spans="2:25" ht="15.75" customHeight="1" x14ac:dyDescent="0.2">
      <c r="B21" s="8" t="s">
        <v>71</v>
      </c>
      <c r="C21" s="10" t="s">
        <v>72</v>
      </c>
      <c r="D21" s="7">
        <v>0.5</v>
      </c>
      <c r="E21" s="43"/>
      <c r="F21" s="43"/>
      <c r="G21" s="44"/>
      <c r="H21" s="43"/>
      <c r="I21" s="43"/>
      <c r="J21" s="44"/>
      <c r="K21" s="43"/>
      <c r="L21" s="43"/>
      <c r="M21" s="44"/>
      <c r="N21" s="43"/>
      <c r="O21" s="43"/>
      <c r="P21" s="44"/>
      <c r="Q21" s="19" t="s">
        <v>73</v>
      </c>
      <c r="S21" s="21" t="str">
        <f t="shared" si="0"/>
        <v>Missing required course or wrong number of credit hours</v>
      </c>
    </row>
    <row r="22" spans="2:25" ht="15.75" customHeight="1" x14ac:dyDescent="0.2">
      <c r="B22" s="8" t="s">
        <v>74</v>
      </c>
      <c r="C22" s="10" t="s">
        <v>72</v>
      </c>
      <c r="D22" s="7">
        <v>0.5</v>
      </c>
      <c r="E22" s="44"/>
      <c r="F22" s="43"/>
      <c r="G22" s="43"/>
      <c r="H22" s="44"/>
      <c r="I22" s="43"/>
      <c r="J22" s="43"/>
      <c r="K22" s="44"/>
      <c r="L22" s="43"/>
      <c r="M22" s="43"/>
      <c r="N22" s="44"/>
      <c r="O22" s="43"/>
      <c r="P22" s="43"/>
      <c r="Q22" s="19" t="s">
        <v>73</v>
      </c>
      <c r="S22" s="21" t="str">
        <f t="shared" si="0"/>
        <v>Missing required course or wrong number of credit hours</v>
      </c>
    </row>
    <row r="23" spans="2:25" ht="15.75" customHeight="1" x14ac:dyDescent="0.2">
      <c r="B23" s="54" t="s">
        <v>75</v>
      </c>
      <c r="D23" s="55"/>
      <c r="E23" s="69">
        <f>SUM(E13:P22)</f>
        <v>22</v>
      </c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S23" s="21" t="str">
        <f>IF(E23&lt;22,"22 or more credit hours expected","okay")</f>
        <v>okay</v>
      </c>
    </row>
    <row r="24" spans="2:25" ht="15.75" customHeight="1" x14ac:dyDescent="0.2">
      <c r="B24" s="79" t="s">
        <v>76</v>
      </c>
      <c r="C24" s="79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</row>
    <row r="25" spans="2:25" ht="15.75" customHeight="1" x14ac:dyDescent="0.2">
      <c r="B25" s="56"/>
      <c r="C25" s="5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</row>
    <row r="26" spans="2:25" ht="15.75" customHeight="1" x14ac:dyDescent="0.2">
      <c r="B26" s="57" t="s">
        <v>77</v>
      </c>
      <c r="C26" s="14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</row>
    <row r="27" spans="2:25" ht="15.75" customHeight="1" x14ac:dyDescent="0.2">
      <c r="B27" s="32" t="s">
        <v>78</v>
      </c>
      <c r="C27" s="33" t="s">
        <v>79</v>
      </c>
      <c r="D27" s="7">
        <v>3</v>
      </c>
      <c r="E27" s="7"/>
      <c r="F27" s="43"/>
      <c r="G27" s="43"/>
      <c r="H27" s="7"/>
      <c r="I27" s="43"/>
      <c r="J27" s="43"/>
      <c r="K27" s="7"/>
      <c r="L27" s="43"/>
      <c r="M27" s="43"/>
      <c r="N27" s="7"/>
      <c r="O27" s="43"/>
      <c r="P27" s="43"/>
      <c r="Q27" s="10" t="s">
        <v>61</v>
      </c>
    </row>
    <row r="28" spans="2:25" ht="15.75" customHeight="1" x14ac:dyDescent="0.2">
      <c r="B28" s="58" t="s">
        <v>80</v>
      </c>
      <c r="C28" s="65" t="s">
        <v>81</v>
      </c>
      <c r="D28" s="59">
        <v>3</v>
      </c>
      <c r="E28" s="43"/>
      <c r="F28" s="43"/>
      <c r="G28" s="7">
        <v>3</v>
      </c>
      <c r="H28" s="43"/>
      <c r="I28" s="43"/>
      <c r="J28" s="7"/>
      <c r="K28" s="43"/>
      <c r="L28" s="43"/>
      <c r="M28" s="7"/>
      <c r="N28" s="43"/>
      <c r="O28" s="43"/>
      <c r="P28" s="7"/>
      <c r="Q28" s="19" t="s">
        <v>65</v>
      </c>
    </row>
    <row r="29" spans="2:25" ht="15.75" customHeight="1" x14ac:dyDescent="0.2">
      <c r="B29" s="58" t="s">
        <v>82</v>
      </c>
      <c r="C29" s="67" t="s">
        <v>83</v>
      </c>
      <c r="D29" s="7">
        <v>3</v>
      </c>
      <c r="E29" s="43"/>
      <c r="F29" s="43"/>
      <c r="G29" s="7"/>
      <c r="H29" s="43"/>
      <c r="I29" s="43"/>
      <c r="J29" s="7"/>
      <c r="K29" s="43"/>
      <c r="L29" s="43"/>
      <c r="M29" s="7"/>
      <c r="N29" s="43"/>
      <c r="O29" s="43"/>
      <c r="P29" s="7"/>
      <c r="Q29" s="38" t="s">
        <v>65</v>
      </c>
    </row>
    <row r="30" spans="2:25" ht="15.75" customHeight="1" x14ac:dyDescent="0.2">
      <c r="B30" s="58" t="s">
        <v>84</v>
      </c>
      <c r="C30" s="35" t="s">
        <v>85</v>
      </c>
      <c r="D30" s="59">
        <v>3</v>
      </c>
      <c r="E30" s="7"/>
      <c r="F30" s="43"/>
      <c r="G30" s="43"/>
      <c r="H30" s="7"/>
      <c r="I30" s="43"/>
      <c r="J30" s="43"/>
      <c r="K30" s="7"/>
      <c r="L30" s="43"/>
      <c r="M30" s="43"/>
      <c r="N30" s="7"/>
      <c r="O30" s="43"/>
      <c r="P30" s="43"/>
      <c r="Q30" s="35" t="s">
        <v>86</v>
      </c>
    </row>
    <row r="31" spans="2:25" ht="15.75" customHeight="1" x14ac:dyDescent="0.2">
      <c r="B31" s="12"/>
      <c r="C31" s="12"/>
      <c r="D31" s="60"/>
      <c r="E31" s="69">
        <f>SUM(E27:P30)</f>
        <v>3</v>
      </c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12"/>
      <c r="S31" s="21" t="str">
        <f>IF(E31&lt;3,"3 or more credit hours expected","okay")</f>
        <v>okay</v>
      </c>
    </row>
    <row r="32" spans="2:25" ht="15.75" customHeight="1" x14ac:dyDescent="0.2">
      <c r="B32" s="12"/>
      <c r="C32" s="1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77"/>
      <c r="O32" s="78"/>
      <c r="P32" s="78"/>
      <c r="Q32" s="34"/>
    </row>
    <row r="33" spans="2:19" ht="15.75" customHeight="1" x14ac:dyDescent="0.2">
      <c r="B33" s="57" t="s">
        <v>87</v>
      </c>
      <c r="C33" s="1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4"/>
    </row>
    <row r="34" spans="2:19" ht="15.75" customHeight="1" x14ac:dyDescent="0.2">
      <c r="B34" s="32" t="s">
        <v>88</v>
      </c>
      <c r="C34" s="33" t="s">
        <v>89</v>
      </c>
      <c r="D34" s="7">
        <v>3</v>
      </c>
      <c r="E34" s="43"/>
      <c r="F34" s="43"/>
      <c r="G34" s="7"/>
      <c r="H34" s="43"/>
      <c r="I34" s="43"/>
      <c r="J34" s="7"/>
      <c r="K34" s="43"/>
      <c r="L34" s="43"/>
      <c r="M34" s="7"/>
      <c r="N34" s="43"/>
      <c r="O34" s="43"/>
      <c r="P34" s="7"/>
      <c r="Q34" s="10" t="s">
        <v>57</v>
      </c>
    </row>
    <row r="35" spans="2:19" ht="15.75" customHeight="1" x14ac:dyDescent="0.2">
      <c r="B35" s="32" t="s">
        <v>78</v>
      </c>
      <c r="C35" s="33" t="s">
        <v>79</v>
      </c>
      <c r="D35" s="7">
        <v>3</v>
      </c>
      <c r="E35" s="7"/>
      <c r="F35" s="43"/>
      <c r="G35" s="43"/>
      <c r="H35" s="7"/>
      <c r="I35" s="43"/>
      <c r="J35" s="43"/>
      <c r="K35" s="7"/>
      <c r="L35" s="43"/>
      <c r="M35" s="43"/>
      <c r="N35" s="7"/>
      <c r="O35" s="43"/>
      <c r="P35" s="43"/>
      <c r="Q35" s="10" t="s">
        <v>61</v>
      </c>
    </row>
    <row r="36" spans="2:19" ht="15.75" customHeight="1" x14ac:dyDescent="0.2">
      <c r="B36" s="32" t="s">
        <v>90</v>
      </c>
      <c r="C36" s="33" t="s">
        <v>91</v>
      </c>
      <c r="D36" s="7">
        <v>3</v>
      </c>
      <c r="E36" s="7"/>
      <c r="F36" s="43"/>
      <c r="G36" s="43"/>
      <c r="H36" s="7"/>
      <c r="I36" s="43"/>
      <c r="J36" s="43"/>
      <c r="K36" s="7"/>
      <c r="L36" s="43"/>
      <c r="M36" s="43"/>
      <c r="N36" s="7"/>
      <c r="O36" s="43"/>
      <c r="P36" s="43"/>
      <c r="Q36" s="10" t="s">
        <v>61</v>
      </c>
    </row>
    <row r="37" spans="2:19" ht="15.75" customHeight="1" x14ac:dyDescent="0.2">
      <c r="B37" s="30" t="s">
        <v>92</v>
      </c>
      <c r="C37" s="31" t="s">
        <v>93</v>
      </c>
      <c r="D37" s="7">
        <v>3</v>
      </c>
      <c r="E37" s="7"/>
      <c r="F37" s="43"/>
      <c r="G37" s="43"/>
      <c r="H37" s="7">
        <v>3</v>
      </c>
      <c r="I37" s="43"/>
      <c r="J37" s="43"/>
      <c r="K37" s="7">
        <v>0</v>
      </c>
      <c r="L37" s="43"/>
      <c r="M37" s="43"/>
      <c r="N37" s="7"/>
      <c r="O37" s="43"/>
      <c r="P37" s="43"/>
      <c r="Q37" s="10" t="s">
        <v>61</v>
      </c>
    </row>
    <row r="38" spans="2:19" ht="15.75" customHeight="1" x14ac:dyDescent="0.2">
      <c r="B38" s="30" t="s">
        <v>84</v>
      </c>
      <c r="C38" s="11" t="s">
        <v>94</v>
      </c>
      <c r="D38" s="7">
        <v>3</v>
      </c>
      <c r="E38" s="7"/>
      <c r="F38" s="43"/>
      <c r="G38" s="7"/>
      <c r="H38" s="7"/>
      <c r="I38" s="43"/>
      <c r="J38" s="7"/>
      <c r="K38" s="7"/>
      <c r="L38" s="43"/>
      <c r="M38" s="7"/>
      <c r="N38" s="7"/>
      <c r="O38" s="43"/>
      <c r="P38" s="7"/>
      <c r="Q38" s="10" t="s">
        <v>61</v>
      </c>
    </row>
    <row r="39" spans="2:19" ht="15.75" customHeight="1" x14ac:dyDescent="0.2">
      <c r="B39" s="30" t="s">
        <v>95</v>
      </c>
      <c r="C39" s="11" t="s">
        <v>96</v>
      </c>
      <c r="D39" s="7">
        <v>1.5</v>
      </c>
      <c r="E39" s="7"/>
      <c r="F39" s="43"/>
      <c r="G39" s="43"/>
      <c r="H39" s="7"/>
      <c r="I39" s="43"/>
      <c r="J39" s="43"/>
      <c r="K39" s="7"/>
      <c r="L39" s="43"/>
      <c r="M39" s="43"/>
      <c r="N39" s="7"/>
      <c r="O39" s="43"/>
      <c r="P39" s="43"/>
      <c r="Q39" s="10" t="s">
        <v>61</v>
      </c>
    </row>
    <row r="40" spans="2:19" ht="15.75" customHeight="1" x14ac:dyDescent="0.2">
      <c r="B40" s="30" t="s">
        <v>97</v>
      </c>
      <c r="C40" s="11" t="s">
        <v>98</v>
      </c>
      <c r="D40" s="7">
        <v>3</v>
      </c>
      <c r="E40" s="7"/>
      <c r="F40" s="43"/>
      <c r="G40" s="43"/>
      <c r="H40" s="7">
        <v>0</v>
      </c>
      <c r="I40" s="43"/>
      <c r="J40" s="43"/>
      <c r="K40" s="7">
        <v>3</v>
      </c>
      <c r="L40" s="43"/>
      <c r="M40" s="43"/>
      <c r="N40" s="7"/>
      <c r="O40" s="43"/>
      <c r="P40" s="43"/>
      <c r="Q40" s="10" t="s">
        <v>61</v>
      </c>
    </row>
    <row r="41" spans="2:19" ht="15.75" customHeight="1" x14ac:dyDescent="0.2">
      <c r="B41" s="30" t="s">
        <v>99</v>
      </c>
      <c r="C41" s="11" t="s">
        <v>100</v>
      </c>
      <c r="D41" s="7">
        <v>1.5</v>
      </c>
      <c r="E41" s="43"/>
      <c r="F41" s="43"/>
      <c r="G41" s="7"/>
      <c r="H41" s="43"/>
      <c r="I41" s="43"/>
      <c r="J41" s="7"/>
      <c r="K41" s="43"/>
      <c r="L41" s="43"/>
      <c r="M41" s="7"/>
      <c r="N41" s="43"/>
      <c r="O41" s="43"/>
      <c r="P41" s="7"/>
      <c r="Q41" s="10" t="s">
        <v>57</v>
      </c>
    </row>
    <row r="42" spans="2:19" ht="15.75" customHeight="1" x14ac:dyDescent="0.2">
      <c r="B42" s="30" t="s">
        <v>101</v>
      </c>
      <c r="C42" s="11" t="s">
        <v>102</v>
      </c>
      <c r="D42" s="7">
        <v>3</v>
      </c>
      <c r="F42" s="43"/>
      <c r="G42" s="43"/>
      <c r="I42" s="43"/>
      <c r="J42" s="43"/>
      <c r="L42" s="43"/>
      <c r="M42" s="43"/>
      <c r="O42" s="43"/>
      <c r="P42" s="43"/>
      <c r="Q42" s="10" t="s">
        <v>57</v>
      </c>
    </row>
    <row r="43" spans="2:19" ht="15.75" customHeight="1" x14ac:dyDescent="0.2">
      <c r="B43" s="32" t="s">
        <v>103</v>
      </c>
      <c r="C43" s="32" t="s">
        <v>104</v>
      </c>
      <c r="D43" s="7">
        <v>3</v>
      </c>
      <c r="E43" s="7"/>
      <c r="F43" s="43"/>
      <c r="G43" s="7"/>
      <c r="H43" s="7"/>
      <c r="I43" s="43"/>
      <c r="J43" s="7"/>
      <c r="K43" s="7"/>
      <c r="L43" s="43"/>
      <c r="M43" s="7"/>
      <c r="N43" s="7"/>
      <c r="O43" s="43"/>
      <c r="P43" s="7"/>
      <c r="Q43" s="10" t="s">
        <v>73</v>
      </c>
    </row>
    <row r="44" spans="2:19" ht="15.75" customHeight="1" x14ac:dyDescent="0.2">
      <c r="B44" s="32" t="s">
        <v>105</v>
      </c>
      <c r="C44" s="33" t="s">
        <v>106</v>
      </c>
      <c r="D44" s="7">
        <v>2</v>
      </c>
      <c r="E44" s="7"/>
      <c r="F44" s="43"/>
      <c r="G44" s="43"/>
      <c r="H44" s="7"/>
      <c r="I44" s="43"/>
      <c r="J44" s="43"/>
      <c r="K44" s="7"/>
      <c r="L44" s="43"/>
      <c r="M44" s="43"/>
      <c r="N44" s="7"/>
      <c r="O44" s="43"/>
      <c r="P44" s="43"/>
      <c r="Q44" s="10" t="s">
        <v>61</v>
      </c>
    </row>
    <row r="45" spans="2:19" ht="15.75" customHeight="1" x14ac:dyDescent="0.2">
      <c r="B45" s="46" t="s">
        <v>107</v>
      </c>
      <c r="C45" s="45" t="s">
        <v>108</v>
      </c>
      <c r="D45" s="47">
        <v>3</v>
      </c>
      <c r="E45" s="48"/>
      <c r="F45" s="48"/>
      <c r="G45" s="47"/>
      <c r="H45" s="48"/>
      <c r="I45" s="48"/>
      <c r="J45" s="47"/>
      <c r="K45" s="47"/>
      <c r="L45" s="48"/>
      <c r="M45" s="47"/>
      <c r="N45" s="47"/>
      <c r="O45" s="48"/>
      <c r="P45" s="47"/>
      <c r="Q45" s="49" t="s">
        <v>57</v>
      </c>
    </row>
    <row r="46" spans="2:19" ht="15.75" customHeight="1" x14ac:dyDescent="0.2">
      <c r="B46" s="51"/>
      <c r="C46" s="3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1"/>
    </row>
    <row r="47" spans="2:19" ht="15.75" customHeight="1" x14ac:dyDescent="0.2">
      <c r="B47" s="50"/>
      <c r="C47" s="12"/>
      <c r="D47" s="62"/>
      <c r="E47" s="69">
        <f>SUM(E34:P46)</f>
        <v>6</v>
      </c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14"/>
      <c r="S47" s="21" t="str">
        <f>IF(E47&lt;6,"6 or more credit hours expected","okay")</f>
        <v>okay</v>
      </c>
    </row>
    <row r="48" spans="2:19" ht="15.75" customHeight="1" x14ac:dyDescent="0.2">
      <c r="B48" s="12"/>
      <c r="C48" s="16" t="s">
        <v>109</v>
      </c>
      <c r="D48" s="17"/>
      <c r="E48" s="17">
        <f t="shared" ref="E48:F48" si="1">SUM(E34:E46,E27:E30,E13:E22)</f>
        <v>4</v>
      </c>
      <c r="F48" s="17">
        <f t="shared" si="1"/>
        <v>2</v>
      </c>
      <c r="G48" s="17">
        <f>SUM(G34:G46,G27:G30,G13:G22)</f>
        <v>6</v>
      </c>
      <c r="H48" s="17">
        <f t="shared" ref="H48:P48" si="2">SUM(H34:H46,H27:H30,H13:H22)</f>
        <v>7</v>
      </c>
      <c r="I48" s="17">
        <f t="shared" si="2"/>
        <v>1</v>
      </c>
      <c r="J48" s="17">
        <f t="shared" si="2"/>
        <v>4</v>
      </c>
      <c r="K48" s="17">
        <f t="shared" si="2"/>
        <v>7</v>
      </c>
      <c r="L48" s="17">
        <f t="shared" si="2"/>
        <v>0</v>
      </c>
      <c r="M48" s="17">
        <f t="shared" si="2"/>
        <v>0</v>
      </c>
      <c r="N48" s="17">
        <f t="shared" si="2"/>
        <v>0</v>
      </c>
      <c r="O48" s="17">
        <f t="shared" si="2"/>
        <v>0</v>
      </c>
      <c r="P48" s="17">
        <f t="shared" si="2"/>
        <v>0</v>
      </c>
      <c r="Q48" s="12"/>
    </row>
    <row r="49" spans="2:19" ht="15.75" customHeight="1" x14ac:dyDescent="0.2">
      <c r="B49" s="12"/>
      <c r="C49" s="20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2"/>
    </row>
    <row r="50" spans="2:19" ht="15.75" customHeight="1" x14ac:dyDescent="0.2">
      <c r="C50" s="72" t="s">
        <v>110</v>
      </c>
      <c r="D50" s="73"/>
      <c r="H50" s="74">
        <f>+E23+E31+E47</f>
        <v>31</v>
      </c>
      <c r="I50" s="75"/>
      <c r="J50" s="76"/>
      <c r="S50" s="22" t="str">
        <f>IF(H50&lt;30,"30 or more credit hours required","okay")</f>
        <v>okay</v>
      </c>
    </row>
    <row r="51" spans="2:19" ht="15.75" customHeight="1" x14ac:dyDescent="0.2">
      <c r="C51" s="39"/>
    </row>
    <row r="52" spans="2:19" x14ac:dyDescent="0.2">
      <c r="B52" s="70"/>
      <c r="C52" s="71"/>
      <c r="D52" s="71"/>
      <c r="E52" s="71"/>
      <c r="F52" s="71"/>
      <c r="G52" s="71"/>
      <c r="H52" s="71"/>
    </row>
    <row r="53" spans="2:19" ht="15.75" customHeight="1" x14ac:dyDescent="0.2">
      <c r="B53" s="70"/>
      <c r="C53" s="71"/>
      <c r="D53" s="71"/>
      <c r="E53" s="71"/>
      <c r="F53" s="71"/>
      <c r="G53" s="71"/>
      <c r="H53" s="71"/>
    </row>
    <row r="54" spans="2:19" ht="15.75" customHeight="1" x14ac:dyDescent="0.2"/>
    <row r="55" spans="2:19" ht="15.75" customHeight="1" x14ac:dyDescent="0.2"/>
    <row r="56" spans="2:19" ht="15.75" customHeight="1" x14ac:dyDescent="0.2"/>
    <row r="57" spans="2:19" ht="15.75" customHeight="1" x14ac:dyDescent="0.2">
      <c r="B57" s="70"/>
      <c r="C57" s="71"/>
      <c r="D57" s="71"/>
      <c r="E57" s="71"/>
      <c r="F57" s="71"/>
      <c r="G57" s="71"/>
      <c r="H57" s="71"/>
    </row>
    <row r="58" spans="2:19" ht="15.75" customHeight="1" x14ac:dyDescent="0.2"/>
  </sheetData>
  <mergeCells count="20">
    <mergeCell ref="B2:Q2"/>
    <mergeCell ref="B3:Q3"/>
    <mergeCell ref="B11:C11"/>
    <mergeCell ref="B12:C12"/>
    <mergeCell ref="E4:F4"/>
    <mergeCell ref="G4:H4"/>
    <mergeCell ref="E5:F5"/>
    <mergeCell ref="G5:H5"/>
    <mergeCell ref="E6:F6"/>
    <mergeCell ref="G6:H6"/>
    <mergeCell ref="E23:P23"/>
    <mergeCell ref="E31:P31"/>
    <mergeCell ref="B52:H52"/>
    <mergeCell ref="B53:H53"/>
    <mergeCell ref="B57:H57"/>
    <mergeCell ref="C50:D50"/>
    <mergeCell ref="H50:J50"/>
    <mergeCell ref="E47:P47"/>
    <mergeCell ref="N32:P32"/>
    <mergeCell ref="B24:C24"/>
  </mergeCells>
  <dataValidations count="2">
    <dataValidation type="list" allowBlank="1" showInputMessage="1" showErrorMessage="1" sqref="G6:H6" xr:uid="{53E0AB2C-4992-44B9-9B32-F6A1240D9D46}">
      <formula1>$Z$3:$Z$5</formula1>
    </dataValidation>
    <dataValidation type="list" allowBlank="1" showInputMessage="1" showErrorMessage="1" sqref="G4:H5" xr:uid="{14ED9A23-5F2B-4664-A10C-6FDEDF5F3579}">
      <formula1>$Y$3:$Y$17</formula1>
    </dataValidation>
  </dataValidations>
  <hyperlinks>
    <hyperlink ref="B10" r:id="rId1" xr:uid="{B9219473-6568-44A8-89A3-C7DD1F41F857}"/>
  </hyperlinks>
  <pageMargins left="0.7" right="0.7" top="0.75" bottom="0.75" header="0.3" footer="0.3"/>
  <pageSetup scale="52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Celia</dc:creator>
  <cp:keywords/>
  <dc:description/>
  <cp:lastModifiedBy>Adam Rayyan Moffat</cp:lastModifiedBy>
  <cp:revision/>
  <dcterms:created xsi:type="dcterms:W3CDTF">2022-09-11T12:21:10Z</dcterms:created>
  <dcterms:modified xsi:type="dcterms:W3CDTF">2026-04-21T17:21:38Z</dcterms:modified>
  <cp:category/>
  <cp:contentStatus/>
</cp:coreProperties>
</file>